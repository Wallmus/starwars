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lognaColonel\workspace\excel\data\"/>
    </mc:Choice>
  </mc:AlternateContent>
  <xr:revisionPtr revIDLastSave="0" documentId="13_ncr:1_{138AE299-DBCD-4B34-8CD8-C325F1F6B6AC}" xr6:coauthVersionLast="47" xr6:coauthVersionMax="47" xr10:uidLastSave="{00000000-0000-0000-0000-000000000000}"/>
  <bookViews>
    <workbookView xWindow="19230" yWindow="75" windowWidth="19095" windowHeight="20850" xr2:uid="{00000000-000D-0000-FFFF-FFFF00000000}"/>
  </bookViews>
  <sheets>
    <sheet name="starwars" sheetId="1" r:id="rId1"/>
    <sheet name="otherwars" sheetId="3" r:id="rId2"/>
    <sheet name="data_dictionary" sheetId="2" r:id="rId3"/>
  </sheets>
  <definedNames>
    <definedName name="age">starwars!$O$2:$O$1048576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1" l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2" i="1"/>
  <c r="G5" i="3" a="1"/>
  <c r="G5" i="3" s="1"/>
  <c r="B2" i="3" a="1"/>
  <c r="B2" i="3" s="1"/>
  <c r="F5" i="3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2" i="1"/>
  <c r="C93" i="1"/>
  <c r="C94" i="1"/>
  <c r="C95" i="1"/>
  <c r="C96" i="1"/>
  <c r="C97" i="1"/>
  <c r="C98" i="1"/>
  <c r="C92" i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2" i="1"/>
  <c r="K2" i="1" s="1"/>
  <c r="C16" i="1"/>
  <c r="G16" i="1" s="1"/>
  <c r="C17" i="1"/>
  <c r="G17" i="1" s="1"/>
  <c r="C18" i="1"/>
  <c r="G18" i="1" s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G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C42" i="1"/>
  <c r="G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C52" i="1"/>
  <c r="G52" i="1" s="1"/>
  <c r="C53" i="1"/>
  <c r="G53" i="1" s="1"/>
  <c r="C54" i="1"/>
  <c r="G54" i="1" s="1"/>
  <c r="C55" i="1"/>
  <c r="G55" i="1" s="1"/>
  <c r="C56" i="1"/>
  <c r="G56" i="1" s="1"/>
  <c r="C57" i="1"/>
  <c r="G57" i="1" s="1"/>
  <c r="C58" i="1"/>
  <c r="G58" i="1" s="1"/>
  <c r="C59" i="1"/>
  <c r="G59" i="1" s="1"/>
  <c r="C60" i="1"/>
  <c r="G60" i="1" s="1"/>
  <c r="C61" i="1"/>
  <c r="G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G68" i="1" s="1"/>
  <c r="C69" i="1"/>
  <c r="G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G76" i="1" s="1"/>
  <c r="C77" i="1"/>
  <c r="G77" i="1" s="1"/>
  <c r="C78" i="1"/>
  <c r="G78" i="1" s="1"/>
  <c r="C79" i="1"/>
  <c r="G79" i="1" s="1"/>
  <c r="C80" i="1"/>
  <c r="G80" i="1" s="1"/>
  <c r="C81" i="1"/>
  <c r="G81" i="1" s="1"/>
  <c r="C82" i="1"/>
  <c r="G82" i="1" s="1"/>
  <c r="C83" i="1"/>
  <c r="G83" i="1" s="1"/>
  <c r="C84" i="1"/>
  <c r="G84" i="1" s="1"/>
  <c r="C85" i="1"/>
  <c r="G85" i="1" s="1"/>
  <c r="C86" i="1"/>
  <c r="G86" i="1" s="1"/>
  <c r="C87" i="1"/>
  <c r="G87" i="1" s="1"/>
  <c r="C88" i="1"/>
  <c r="G88" i="1" s="1"/>
  <c r="C11" i="1"/>
  <c r="G11" i="1" s="1"/>
  <c r="C12" i="1"/>
  <c r="G12" i="1" s="1"/>
  <c r="C13" i="1"/>
  <c r="G13" i="1" s="1"/>
  <c r="C14" i="1"/>
  <c r="G14" i="1" s="1"/>
  <c r="C15" i="1"/>
  <c r="G15" i="1" s="1"/>
  <c r="C4" i="1"/>
  <c r="G4" i="1" s="1"/>
  <c r="C5" i="1"/>
  <c r="G5" i="1" s="1"/>
  <c r="H5" i="1" s="1"/>
  <c r="C6" i="1"/>
  <c r="G6" i="1" s="1"/>
  <c r="C7" i="1"/>
  <c r="G7" i="1" s="1"/>
  <c r="C8" i="1"/>
  <c r="G8" i="1" s="1"/>
  <c r="C9" i="1"/>
  <c r="G9" i="1" s="1"/>
  <c r="C10" i="1"/>
  <c r="G10" i="1" s="1"/>
  <c r="C3" i="1"/>
  <c r="G3" i="1" s="1"/>
  <c r="C2" i="1"/>
  <c r="G2" i="1" s="1"/>
  <c r="T37" i="1" l="1"/>
  <c r="T74" i="1"/>
  <c r="T71" i="1"/>
  <c r="T38" i="1"/>
  <c r="T35" i="1"/>
  <c r="T73" i="1"/>
  <c r="T72" i="1"/>
  <c r="T36" i="1"/>
  <c r="T62" i="1"/>
  <c r="T26" i="1"/>
  <c r="T61" i="1"/>
  <c r="T25" i="1"/>
  <c r="T60" i="1"/>
  <c r="T24" i="1"/>
  <c r="T59" i="1"/>
  <c r="T23" i="1"/>
  <c r="T86" i="1"/>
  <c r="T50" i="1"/>
  <c r="T14" i="1"/>
  <c r="T85" i="1"/>
  <c r="T49" i="1"/>
  <c r="T13" i="1"/>
  <c r="T84" i="1"/>
  <c r="T48" i="1"/>
  <c r="T12" i="1"/>
  <c r="T83" i="1"/>
  <c r="T47" i="1"/>
  <c r="T11" i="1"/>
  <c r="T82" i="1"/>
  <c r="T70" i="1"/>
  <c r="T58" i="1"/>
  <c r="T46" i="1"/>
  <c r="T34" i="1"/>
  <c r="T22" i="1"/>
  <c r="T10" i="1"/>
  <c r="T81" i="1"/>
  <c r="T69" i="1"/>
  <c r="T57" i="1"/>
  <c r="T45" i="1"/>
  <c r="T33" i="1"/>
  <c r="T21" i="1"/>
  <c r="T9" i="1"/>
  <c r="T80" i="1"/>
  <c r="T68" i="1"/>
  <c r="T56" i="1"/>
  <c r="T44" i="1"/>
  <c r="T32" i="1"/>
  <c r="T20" i="1"/>
  <c r="T8" i="1"/>
  <c r="T79" i="1"/>
  <c r="T67" i="1"/>
  <c r="T55" i="1"/>
  <c r="T43" i="1"/>
  <c r="T31" i="1"/>
  <c r="T19" i="1"/>
  <c r="T7" i="1"/>
  <c r="T78" i="1"/>
  <c r="T66" i="1"/>
  <c r="T54" i="1"/>
  <c r="T42" i="1"/>
  <c r="T30" i="1"/>
  <c r="T18" i="1"/>
  <c r="T6" i="1"/>
  <c r="T77" i="1"/>
  <c r="T65" i="1"/>
  <c r="T53" i="1"/>
  <c r="T41" i="1"/>
  <c r="T29" i="1"/>
  <c r="T17" i="1"/>
  <c r="T5" i="1"/>
  <c r="T88" i="1"/>
  <c r="T76" i="1"/>
  <c r="T64" i="1"/>
  <c r="T52" i="1"/>
  <c r="T40" i="1"/>
  <c r="T28" i="1"/>
  <c r="T16" i="1"/>
  <c r="T4" i="1"/>
  <c r="T87" i="1"/>
  <c r="T75" i="1"/>
  <c r="T63" i="1"/>
  <c r="T51" i="1"/>
  <c r="T39" i="1"/>
  <c r="T27" i="1"/>
  <c r="T15" i="1"/>
  <c r="T3" i="1"/>
  <c r="T2" i="1"/>
  <c r="H24" i="1"/>
  <c r="H23" i="1"/>
  <c r="H4" i="1"/>
  <c r="H2" i="1"/>
  <c r="H12" i="1"/>
  <c r="H3" i="1"/>
  <c r="H39" i="1"/>
  <c r="H35" i="1"/>
  <c r="H59" i="1"/>
  <c r="H51" i="1"/>
  <c r="I83" i="1"/>
  <c r="H27" i="1"/>
  <c r="H36" i="1"/>
  <c r="H47" i="1"/>
  <c r="H11" i="1"/>
  <c r="H15" i="1"/>
  <c r="H75" i="1"/>
  <c r="H63" i="1"/>
  <c r="H16" i="1"/>
  <c r="I3" i="1"/>
  <c r="I34" i="1"/>
  <c r="I86" i="1"/>
  <c r="I62" i="1"/>
  <c r="I38" i="1"/>
  <c r="I14" i="1"/>
  <c r="I85" i="1"/>
  <c r="I73" i="1"/>
  <c r="I61" i="1"/>
  <c r="I49" i="1"/>
  <c r="I37" i="1"/>
  <c r="I25" i="1"/>
  <c r="I13" i="1"/>
  <c r="I22" i="1"/>
  <c r="I74" i="1"/>
  <c r="I50" i="1"/>
  <c r="I26" i="1"/>
  <c r="I84" i="1"/>
  <c r="I72" i="1"/>
  <c r="I60" i="1"/>
  <c r="I48" i="1"/>
  <c r="I36" i="1"/>
  <c r="I24" i="1"/>
  <c r="I12" i="1"/>
  <c r="I71" i="1"/>
  <c r="I59" i="1"/>
  <c r="I47" i="1"/>
  <c r="I35" i="1"/>
  <c r="I23" i="1"/>
  <c r="I11" i="1"/>
  <c r="I46" i="1"/>
  <c r="I81" i="1"/>
  <c r="I69" i="1"/>
  <c r="I45" i="1"/>
  <c r="I21" i="1"/>
  <c r="H28" i="1"/>
  <c r="I80" i="1"/>
  <c r="I68" i="1"/>
  <c r="I56" i="1"/>
  <c r="I44" i="1"/>
  <c r="I32" i="1"/>
  <c r="I20" i="1"/>
  <c r="I8" i="1"/>
  <c r="I10" i="1"/>
  <c r="I57" i="1"/>
  <c r="I33" i="1"/>
  <c r="I9" i="1"/>
  <c r="I79" i="1"/>
  <c r="I67" i="1"/>
  <c r="I55" i="1"/>
  <c r="I43" i="1"/>
  <c r="I31" i="1"/>
  <c r="I19" i="1"/>
  <c r="I7" i="1"/>
  <c r="I58" i="1"/>
  <c r="I66" i="1"/>
  <c r="I18" i="1"/>
  <c r="I2" i="1"/>
  <c r="I77" i="1"/>
  <c r="I65" i="1"/>
  <c r="I53" i="1"/>
  <c r="I41" i="1"/>
  <c r="I29" i="1"/>
  <c r="I17" i="1"/>
  <c r="I5" i="1"/>
  <c r="I70" i="1"/>
  <c r="I54" i="1"/>
  <c r="I30" i="1"/>
  <c r="I88" i="1"/>
  <c r="I76" i="1"/>
  <c r="I64" i="1"/>
  <c r="I52" i="1"/>
  <c r="I40" i="1"/>
  <c r="I28" i="1"/>
  <c r="I16" i="1"/>
  <c r="I4" i="1"/>
  <c r="I82" i="1"/>
  <c r="I78" i="1"/>
  <c r="I42" i="1"/>
  <c r="I6" i="1"/>
  <c r="I87" i="1"/>
  <c r="I75" i="1"/>
  <c r="I63" i="1"/>
  <c r="I51" i="1"/>
  <c r="I39" i="1"/>
  <c r="I27" i="1"/>
  <c r="I15" i="1"/>
  <c r="H71" i="1"/>
  <c r="H13" i="1"/>
  <c r="H25" i="1"/>
  <c r="H37" i="1"/>
  <c r="H26" i="1"/>
  <c r="H50" i="1"/>
  <c r="H74" i="1"/>
  <c r="H14" i="1"/>
  <c r="H38" i="1"/>
  <c r="H62" i="1"/>
  <c r="H40" i="1"/>
  <c r="H52" i="1"/>
  <c r="H64" i="1"/>
  <c r="H42" i="1"/>
  <c r="H54" i="1"/>
  <c r="H6" i="1"/>
  <c r="H18" i="1"/>
  <c r="H7" i="1"/>
  <c r="H19" i="1"/>
  <c r="H30" i="1"/>
  <c r="H8" i="1"/>
  <c r="H20" i="1"/>
  <c r="H32" i="1"/>
  <c r="H44" i="1"/>
  <c r="H56" i="1"/>
  <c r="H68" i="1"/>
  <c r="H80" i="1"/>
  <c r="H9" i="1"/>
  <c r="H48" i="1"/>
  <c r="H60" i="1"/>
  <c r="H72" i="1"/>
  <c r="H49" i="1"/>
  <c r="H61" i="1"/>
  <c r="H86" i="1"/>
  <c r="H87" i="1"/>
  <c r="H76" i="1"/>
  <c r="H17" i="1"/>
  <c r="H29" i="1"/>
  <c r="H41" i="1"/>
  <c r="H53" i="1"/>
  <c r="H65" i="1"/>
  <c r="H77" i="1"/>
  <c r="H88" i="1"/>
  <c r="H66" i="1"/>
  <c r="H78" i="1"/>
  <c r="H31" i="1"/>
  <c r="H43" i="1"/>
  <c r="H55" i="1"/>
  <c r="H67" i="1"/>
  <c r="H79" i="1"/>
  <c r="H33" i="1"/>
  <c r="H57" i="1"/>
  <c r="H69" i="1"/>
  <c r="H81" i="1"/>
  <c r="H21" i="1"/>
  <c r="H45" i="1"/>
  <c r="H10" i="1"/>
  <c r="H22" i="1"/>
  <c r="H34" i="1"/>
  <c r="H46" i="1"/>
  <c r="H58" i="1"/>
  <c r="H70" i="1"/>
  <c r="H82" i="1"/>
  <c r="H83" i="1"/>
  <c r="H84" i="1"/>
  <c r="H73" i="1"/>
  <c r="H8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<sst xmlns="http://schemas.openxmlformats.org/spreadsheetml/2006/main" count="749" uniqueCount="294">
  <si>
    <t>name</t>
  </si>
  <si>
    <t>height_cm</t>
  </si>
  <si>
    <t>height_m</t>
  </si>
  <si>
    <t>mass_kg</t>
  </si>
  <si>
    <t>BMI</t>
  </si>
  <si>
    <t>compare_BMI_DV column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</si>
  <si>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</si>
  <si>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</si>
  <si>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</si>
  <si>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</si>
  <si>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</si>
  <si>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</si>
  <si>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</si>
  <si>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</si>
  <si>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</si>
  <si>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</si>
  <si>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</si>
  <si>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</si>
  <si>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</si>
  <si>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</si>
  <si>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</si>
  <si>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</si>
  <si>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</si>
  <si>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</si>
  <si>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</si>
  <si>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</si>
  <si>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</si>
  <si>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</si>
  <si>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</si>
  <si>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</si>
  <si>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</si>
  <si>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</si>
  <si>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</si>
  <si>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</si>
  <si>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</si>
  <si>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</si>
  <si>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</si>
  <si>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</si>
  <si>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</si>
  <si>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</si>
  <si>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</si>
  <si>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</si>
  <si>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</si>
  <si>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</si>
  <si>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</si>
  <si>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</si>
  <si>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</si>
  <si>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</si>
  <si>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</si>
  <si>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</si>
  <si>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</si>
  <si>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</si>
  <si>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</si>
  <si>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</si>
  <si>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</si>
  <si>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</si>
  <si>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</si>
  <si>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</si>
  <si>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</si>
  <si>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</si>
  <si>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</si>
  <si>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</si>
  <si>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</si>
  <si>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</si>
  <si>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</si>
  <si>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</si>
  <si>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</si>
  <si>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</si>
  <si>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</si>
  <si>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</si>
  <si>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</si>
  <si>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</si>
  <si>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</si>
  <si>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</si>
  <si>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</si>
  <si>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</si>
  <si>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</si>
  <si>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</si>
  <si>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</si>
  <si>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</si>
  <si>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</si>
  <si>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</si>
  <si>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</si>
  <si>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</si>
  <si>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</si>
  <si>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</si>
  <si>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</si>
  <si>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</si>
  <si>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</si>
  <si>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</si>
  <si>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</si>
  <si>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</si>
  <si>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</si>
  <si>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</si>
  <si>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</si>
  <si>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</si>
  <si>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</si>
  <si>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</si>
  <si>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</si>
  <si>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</si>
  <si>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</si>
  <si>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</si>
  <si>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</si>
  <si>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</si>
  <si>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</si>
  <si>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</si>
  <si>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</si>
  <si>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</si>
  <si>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</si>
  <si>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</si>
  <si>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</si>
  <si>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</si>
  <si>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</si>
  <si>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</si>
  <si>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</si>
  <si>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</si>
  <si>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</si>
  <si>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</si>
  <si>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</si>
  <si>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</si>
  <si>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</si>
  <si>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</si>
  <si>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</si>
  <si>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</si>
  <si>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</si>
  <si>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</si>
  <si>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</si>
  <si>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</si>
  <si>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</si>
  <si>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</si>
  <si>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</si>
  <si>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</si>
  <si>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</si>
  <si>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</si>
  <si>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</si>
  <si>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</si>
  <si>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</si>
  <si>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</si>
  <si>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</si>
  <si>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</si>
  <si>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</si>
  <si>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</si>
  <si>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</si>
  <si>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</si>
  <si>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</si>
  <si>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</si>
  <si>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</si>
  <si>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</si>
  <si>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</si>
  <si>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</si>
  <si>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</si>
  <si>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</si>
  <si>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</si>
  <si>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</si>
  <si>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</si>
  <si>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</si>
  <si>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</si>
  <si>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</si>
  <si>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</si>
  <si>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</si>
  <si>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</si>
  <si>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</si>
  <si>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</si>
  <si>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</si>
  <si>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</si>
  <si>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</si>
  <si>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</si>
  <si>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</si>
  <si>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</si>
  <si>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</si>
  <si>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</si>
  <si>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</si>
  <si>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</si>
  <si>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</si>
  <si>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</si>
  <si>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</si>
  <si>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</si>
  <si>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</si>
  <si>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</si>
  <si>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</si>
  <si>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</si>
  <si>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</si>
  <si>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</si>
  <si>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</si>
  <si>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</si>
  <si>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</si>
  <si>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</si>
  <si>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</si>
  <si>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</si>
  <si>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</si>
  <si>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</si>
  <si>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</si>
  <si>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</si>
  <si>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</si>
  <si>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</si>
  <si>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</si>
  <si>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</si>
  <si>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</si>
  <si>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</si>
  <si>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</si>
  <si>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</si>
  <si>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</si>
  <si>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</si>
  <si>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</si>
  <si>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</si>
  <si>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</si>
  <si>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</si>
  <si>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</si>
  <si>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</si>
  <si>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</si>
  <si>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</si>
  <si>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</si>
  <si>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</si>
  <si>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</si>
  <si>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</si>
  <si>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</si>
  <si>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</si>
  <si>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</si>
  <si>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</si>
  <si>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</si>
  <si>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</si>
  <si>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</si>
  <si>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</si>
  <si>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</si>
  <si>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</si>
  <si>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</si>
  <si>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</si>
  <si>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</si>
  <si>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</si>
  <si>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</si>
  <si>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</si>
  <si>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</si>
  <si>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</si>
  <si>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</si>
  <si>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</si>
  <si>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</si>
  <si>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</si>
  <si>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</si>
  <si>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</si>
  <si>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</si>
  <si>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</si>
  <si>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</si>
  <si>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</si>
  <si>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</si>
  <si>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</si>
  <si>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</si>
  <si>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</si>
  <si>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</si>
  <si>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</si>
  <si>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</si>
  <si>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</si>
  <si>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</si>
  <si>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</si>
  <si>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</si>
  <si>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</si>
  <si>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</si>
  <si>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</si>
  <si>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</si>
  <si>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</t>
  </si>
  <si>
    <t>Height in cm, NA if unknown</t>
  </si>
  <si>
    <t>mass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</si>
  <si>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</si>
  <si>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</si>
  <si>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</si>
  <si>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</si>
  <si>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</si>
  <si>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</si>
  <si>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</si>
  <si>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</si>
  <si>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BMI_rank</t>
  </si>
  <si>
    <t>birthdate</t>
  </si>
  <si>
    <t>age_in_days</t>
  </si>
  <si>
    <t>The Phantom Menace</t>
  </si>
  <si>
    <t>Attack of the Clones</t>
  </si>
  <si>
    <t>Revenge of the Sith</t>
  </si>
  <si>
    <t>A New Hope</t>
  </si>
  <si>
    <t>The Empire Strikes Back</t>
  </si>
  <si>
    <t>Return of the Jedi</t>
  </si>
  <si>
    <t>The Force Awakens</t>
  </si>
  <si>
    <t>first_movie_list</t>
  </si>
  <si>
    <t>age_number_check</t>
  </si>
  <si>
    <t>height_inches</t>
  </si>
  <si>
    <t>weight_lb</t>
  </si>
  <si>
    <t>Release Date</t>
  </si>
  <si>
    <t>Days Since</t>
  </si>
  <si>
    <t>Movie Name</t>
  </si>
  <si>
    <t>first_movie_birth</t>
  </si>
  <si>
    <t>Character_name</t>
  </si>
  <si>
    <t>height_order</t>
  </si>
  <si>
    <t>Mean</t>
  </si>
  <si>
    <t>Median</t>
  </si>
  <si>
    <t>Mode</t>
  </si>
  <si>
    <t>Without the functions</t>
  </si>
  <si>
    <t>With the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</si>
</sst>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1"/>
  <sheetViews>
    <sheetView tabSelected="1" topLeftCell="S1" zoomScaleNormal="100" workbookViewId="0">
      <selection activeCell="V2" sqref="V2"/>
    </sheetView>
  </sheetViews>
  <sheetFormatPr defaultColWidth="11.25" defaultRowHeight="15" customHeight="1" x14ac:dyDescent="0.25"/>
  <cols>
    <col min="1" max="1" width="18.375" customWidth="1"/>
    <col min="2" max="2" width="11.125" customWidth="1"/>
    <col min="3" max="4" width="12.625" customWidth="1"/>
    <col min="5" max="5" width="9.25" customWidth="1"/>
    <col min="6" max="6" width="11.875" customWidth="1"/>
    <col min="7" max="7" width="13" customWidth="1"/>
    <col min="8" max="8" width="21.5" customWidth="1"/>
    <col min="9" max="9" width="9.375" customWidth="1"/>
    <col min="10" max="10" width="12.125" customWidth="1"/>
    <col min="11" max="11" width="14.5" customWidth="1"/>
    <col min="12" max="15" width="11" customWidth="1"/>
    <col min="16" max="16" width="17.125" customWidth="1"/>
    <col min="17" max="17" width="11" customWidth="1"/>
    <col min="18" max="18" width="14.375" customWidth="1"/>
    <col min="19" max="19" width="125.25" customWidth="1"/>
    <col min="20" max="20" width="25.375" customWidth="1"/>
    <col min="21" max="21" width="18.625" customWidth="1"/>
    <col min="22" max="35" width="11" customWidth="1"/>
  </cols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1" t="s">
        <v>281</v>
      </c>
      <c r="E1" s="1" t="s">
        <v>3</v>
      </c>
      <c r="F1" s="1" t="s">
        <v>282</v>
      </c>
      <c r="G1" s="1" t="s">
        <v>4</v>
      </c>
      <c r="H1" s="1" t="s">
        <v>5</v>
      </c>
      <c r="I1" t="s">
        <v>269</v>
      </c>
      <c r="J1" s="4" t="s">
        <v>271</v>
      </c>
      <c r="K1" t="s">
        <v>270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280</v>
      </c>
      <c r="Q1" s="1" t="s">
        <v>10</v>
      </c>
      <c r="R1" s="1" t="s">
        <v>11</v>
      </c>
      <c r="S1" s="1" t="s">
        <v>12</v>
      </c>
      <c r="T1" s="1" t="s">
        <v>286</v>
      </c>
      <c r="U1" s="4" t="s">
        <v>279</v>
      </c>
    </row>
    <row r="2" spans="1:21" ht="15.75" customHeight="1" x14ac:dyDescent="0.25">
      <c r="A2" s="1" t="s">
        <v>13</v>
      </c>
      <c r="B2" s="1">
        <v>172</v>
      </c>
      <c r="C2" s="1">
        <f>IFERROR(B2/100, "NA")</f>
        <v>1.72</v>
      </c>
      <c r="D2" s="1">
        <f t="shared" ref="D2:D65" si="0">IFERROR(FLOOR(CONVERT(B2, "cm", "in"), 0.5), "NA")</f>
        <v>67.5</v>
      </c>
      <c r="E2" s="1">
        <v>77</v>
      </c>
      <c r="F2" s="1">
        <f>IFERROR(MROUND(CONVERT(E2, "kg", "lbm"), 0.25), "NA")</f>
        <v>169.75</v>
      </c>
      <c r="G2" s="1">
        <f>IF(C2="NA",0,IF(E2="NA",0,E2/(C2^2)))</f>
        <v>26.027582477014604</v>
      </c>
      <c r="H2" s="1" t="str">
        <f t="shared" ref="H2:H88" si="1">IFERROR(IF(G2-$G$5&lt;0,ABS(G2-$G$5)&amp;" Less", G2-$G$5&amp;" More"), "not enough data")</f>
        <v>7.3024832028207 Less</v>
      </c>
      <c r="I2" s="4">
        <f>RANK($G2,$G$2:$G$88)</f>
        <v>18</v>
      </c>
      <c r="J2" s="4">
        <f ca="1">IFERROR((YEAR(TODAY())-(YEAR(TODAY())-$O2))*365, "NA")</f>
        <v>6935</v>
      </c>
      <c r="K2" s="5">
        <f ca="1">IFERROR(TODAY()-$J2, "NA")</f>
        <v>39102</v>
      </c>
      <c r="L2" s="1" t="s">
        <v>14</v>
      </c>
      <c r="M2" s="1" t="s">
        <v>15</v>
      </c>
      <c r="N2" s="1" t="s">
        <v>16</v>
      </c>
      <c r="O2" s="1">
        <v>19</v>
      </c>
      <c r="P2" s="4" t="b">
        <f>ISNUMBER($O2)</f>
        <v>1</v>
      </c>
      <c r="Q2" s="1" t="s">
        <v>17</v>
      </c>
      <c r="R2" s="1" t="s">
        <v>18</v>
      </c>
      <c r="S2" s="1" t="s">
        <v>19</v>
      </c>
      <c r="T2" t="str">
        <f ca="1">_xlfn.XLOOKUP(J2, $C$92:$C$100, $A$92:$A$100, "*Not Found*",-1)</f>
        <v>The Force Awakens</v>
      </c>
      <c r="U2" s="4" t="str">
        <f>TRIM(IFERROR(LEFT(S2, SEARCH(",",S2)-1), S2))</f>
        <v>Revenge of the Sith</v>
      </c>
    </row>
    <row r="3" spans="1:21" ht="15.75" customHeight="1" x14ac:dyDescent="0.25">
      <c r="A3" s="1" t="s">
        <v>20</v>
      </c>
      <c r="B3" s="1">
        <v>167</v>
      </c>
      <c r="C3" s="1">
        <f>IFERROR(B3/100, "NA")</f>
        <v>1.67</v>
      </c>
      <c r="D3" s="1">
        <f t="shared" si="0"/>
        <v>65.5</v>
      </c>
      <c r="E3" s="1">
        <v>75</v>
      </c>
      <c r="F3" s="1">
        <f>IFERROR(MROUND(CONVERT(E3, "kg", "lbm"), 0.25), "NA")</f>
        <v>165.25</v>
      </c>
      <c r="G3" s="1">
        <f t="shared" ref="G3:G65" si="2">IF(C3="NA",0,IF(E3="NA",0,E3/(C3^2)))</f>
        <v>26.892323138154829</v>
      </c>
      <c r="H3" s="1" t="str">
        <f t="shared" si="1"/>
        <v>6.43774254168048 Less</v>
      </c>
      <c r="I3" s="4">
        <f t="shared" ref="I3:I66" si="3">RANK($G3,$G$2:$G$88)</f>
        <v>14</v>
      </c>
      <c r="J3" s="4">
        <f t="shared" ref="J3:J66" ca="1" si="4">IFERROR((YEAR(TODAY())-(YEAR(TODAY())-$O3))*365, "NA")</f>
        <v>40880</v>
      </c>
      <c r="K3" s="5">
        <f ca="1">IFERROR(TODAY()-$J3, "NA")</f>
        <v>5157</v>
      </c>
      <c r="L3" s="1" t="s">
        <v>21</v>
      </c>
      <c r="M3" s="1" t="s">
        <v>22</v>
      </c>
      <c r="N3" s="1" t="s">
        <v>23</v>
      </c>
      <c r="O3" s="1">
        <v>112</v>
      </c>
      <c r="P3" s="4" t="b">
        <f t="shared" ref="P3:P66" si="5">ISNUMBER($O3)</f>
        <v>1</v>
      </c>
      <c r="Q3" s="1" t="s">
        <v>17</v>
      </c>
      <c r="R3" s="1" t="s">
        <v>24</v>
      </c>
      <c r="S3" s="1" t="s">
        <v>25</v>
      </c>
      <c r="T3" t="str">
        <f t="shared" ref="T3:T66" ca="1" si="6">_xlfn.XLOOKUP(J3, $C$92:$C$100, $A$92:$A$100, "*Not Found*",-1)</f>
        <v>A New Hope</v>
      </c>
      <c r="U3" s="4" t="str">
        <f t="shared" ref="U3:U66" si="7">TRIM(IFERROR(LEFT(S3, SEARCH(",",S3)-1), S3))</f>
        <v>Attack of the Clones</v>
      </c>
    </row>
    <row r="4" spans="1:21" ht="15.75" customHeight="1" x14ac:dyDescent="0.25">
      <c r="A4" s="1" t="s">
        <v>26</v>
      </c>
      <c r="B4" s="1">
        <v>96</v>
      </c>
      <c r="C4" s="1">
        <f t="shared" ref="C4:C10" si="8">IFERROR(B4/100, "NA")</f>
        <v>0.96</v>
      </c>
      <c r="D4" s="1">
        <f t="shared" si="0"/>
        <v>37.5</v>
      </c>
      <c r="E4" s="1">
        <v>32</v>
      </c>
      <c r="F4" s="1">
        <f t="shared" ref="F4:F67" si="9">IFERROR(MROUND(CONVERT(E4, "kg", "lbm"), 0.25), "NA")</f>
        <v>70.5</v>
      </c>
      <c r="G4" s="1">
        <f t="shared" si="2"/>
        <v>34.722222222222221</v>
      </c>
      <c r="H4" s="1" t="str">
        <f t="shared" si="1"/>
        <v>1.39215654238691 More</v>
      </c>
      <c r="I4" s="4">
        <f t="shared" si="3"/>
        <v>6</v>
      </c>
      <c r="J4" s="4">
        <f t="shared" ca="1" si="4"/>
        <v>12045</v>
      </c>
      <c r="K4" s="5">
        <f ca="1">IFERROR(TODAY()-$J4, "NA")</f>
        <v>33992</v>
      </c>
      <c r="L4" s="1" t="s">
        <v>21</v>
      </c>
      <c r="M4" s="1" t="s">
        <v>27</v>
      </c>
      <c r="N4" s="1" t="s">
        <v>28</v>
      </c>
      <c r="O4" s="1">
        <v>33</v>
      </c>
      <c r="P4" s="4" t="b">
        <f t="shared" si="5"/>
        <v>1</v>
      </c>
      <c r="Q4" s="1" t="s">
        <v>29</v>
      </c>
      <c r="R4" s="1" t="s">
        <v>24</v>
      </c>
      <c r="S4" s="1" t="s">
        <v>30</v>
      </c>
      <c r="T4" t="str">
        <f t="shared" ca="1" si="6"/>
        <v>The Phantom Menace</v>
      </c>
      <c r="U4" s="4" t="str">
        <f t="shared" si="7"/>
        <v>Attack of the Clones</v>
      </c>
    </row>
    <row r="5" spans="1:21" ht="15.75" customHeight="1" x14ac:dyDescent="0.25">
      <c r="A5" s="1" t="s">
        <v>31</v>
      </c>
      <c r="B5" s="1">
        <v>202</v>
      </c>
      <c r="C5" s="1">
        <f t="shared" si="8"/>
        <v>2.02</v>
      </c>
      <c r="D5" s="1">
        <f t="shared" si="0"/>
        <v>79.5</v>
      </c>
      <c r="E5" s="1">
        <v>136</v>
      </c>
      <c r="F5" s="1">
        <f t="shared" si="9"/>
        <v>299.75</v>
      </c>
      <c r="G5" s="1">
        <f t="shared" si="2"/>
        <v>33.330065679835307</v>
      </c>
      <c r="H5" s="1" t="str">
        <f t="shared" si="1"/>
        <v>0 More</v>
      </c>
      <c r="I5" s="4">
        <f t="shared" si="3"/>
        <v>10</v>
      </c>
      <c r="J5" s="4">
        <f t="shared" ca="1" si="4"/>
        <v>15293.500000000033</v>
      </c>
      <c r="K5" s="5">
        <f ca="1">IFERROR(TODAY()-$J5, "NA")</f>
        <v>30743.499999999967</v>
      </c>
      <c r="L5" s="1" t="s">
        <v>32</v>
      </c>
      <c r="M5" s="1" t="s">
        <v>33</v>
      </c>
      <c r="N5" s="1" t="s">
        <v>23</v>
      </c>
      <c r="O5" s="1">
        <v>41.9</v>
      </c>
      <c r="P5" s="4" t="b">
        <f t="shared" si="5"/>
        <v>1</v>
      </c>
      <c r="Q5" s="1" t="s">
        <v>17</v>
      </c>
      <c r="R5" s="1" t="s">
        <v>18</v>
      </c>
      <c r="S5" s="1" t="s">
        <v>34</v>
      </c>
      <c r="T5" t="str">
        <f t="shared" ca="1" si="6"/>
        <v>The Phantom Menace</v>
      </c>
      <c r="U5" s="4" t="str">
        <f t="shared" si="7"/>
        <v>Revenge of the Sith</v>
      </c>
    </row>
    <row r="6" spans="1:21" ht="15.75" customHeight="1" x14ac:dyDescent="0.25">
      <c r="A6" s="1" t="s">
        <v>35</v>
      </c>
      <c r="B6" s="1">
        <v>150</v>
      </c>
      <c r="C6" s="1">
        <f t="shared" si="8"/>
        <v>1.5</v>
      </c>
      <c r="D6" s="1">
        <f t="shared" si="0"/>
        <v>59</v>
      </c>
      <c r="E6" s="1">
        <v>49</v>
      </c>
      <c r="F6" s="1">
        <f t="shared" si="9"/>
        <v>108</v>
      </c>
      <c r="G6" s="1">
        <f t="shared" si="2"/>
        <v>21.777777777777779</v>
      </c>
      <c r="H6" s="1" t="str">
        <f t="shared" si="1"/>
        <v>11.5522879020575 Less</v>
      </c>
      <c r="I6" s="4">
        <f t="shared" si="3"/>
        <v>43</v>
      </c>
      <c r="J6" s="4">
        <f t="shared" ca="1" si="4"/>
        <v>6935</v>
      </c>
      <c r="K6" s="5">
        <f ca="1">IFERROR(TODAY()-$J6, "NA")</f>
        <v>39102</v>
      </c>
      <c r="L6" s="1" t="s">
        <v>36</v>
      </c>
      <c r="M6" s="1" t="s">
        <v>37</v>
      </c>
      <c r="N6" s="1" t="s">
        <v>36</v>
      </c>
      <c r="O6" s="1">
        <v>19</v>
      </c>
      <c r="P6" s="4" t="b">
        <f t="shared" si="5"/>
        <v>1</v>
      </c>
      <c r="Q6" s="1" t="s">
        <v>38</v>
      </c>
      <c r="R6" s="1" t="s">
        <v>18</v>
      </c>
      <c r="S6" s="1" t="s">
        <v>39</v>
      </c>
      <c r="T6" t="str">
        <f t="shared" ca="1" si="6"/>
        <v>The Force Awakens</v>
      </c>
      <c r="U6" s="4" t="str">
        <f t="shared" si="7"/>
        <v>Revenge of the Sith</v>
      </c>
    </row>
    <row r="7" spans="1:21" ht="15.75" customHeight="1" x14ac:dyDescent="0.25">
      <c r="A7" s="1" t="s">
        <v>40</v>
      </c>
      <c r="B7" s="1">
        <v>178</v>
      </c>
      <c r="C7" s="1">
        <f t="shared" si="8"/>
        <v>1.78</v>
      </c>
      <c r="D7" s="1">
        <f t="shared" si="0"/>
        <v>70</v>
      </c>
      <c r="E7" s="1">
        <v>120</v>
      </c>
      <c r="F7" s="1">
        <f t="shared" si="9"/>
        <v>264.5</v>
      </c>
      <c r="G7" s="1">
        <f t="shared" si="2"/>
        <v>37.874005807347558</v>
      </c>
      <c r="H7" s="1" t="str">
        <f t="shared" si="1"/>
        <v>4.54394012751225 More</v>
      </c>
      <c r="I7" s="4">
        <f t="shared" si="3"/>
        <v>4</v>
      </c>
      <c r="J7" s="4">
        <f t="shared" ca="1" si="4"/>
        <v>18980</v>
      </c>
      <c r="K7" s="5">
        <f ca="1">IFERROR(TODAY()-$J7, "NA")</f>
        <v>27057</v>
      </c>
      <c r="L7" s="1" t="s">
        <v>41</v>
      </c>
      <c r="M7" s="1" t="s">
        <v>37</v>
      </c>
      <c r="N7" s="1" t="s">
        <v>16</v>
      </c>
      <c r="O7" s="1">
        <v>52</v>
      </c>
      <c r="P7" s="4" t="b">
        <f t="shared" si="5"/>
        <v>1</v>
      </c>
      <c r="Q7" s="1" t="s">
        <v>17</v>
      </c>
      <c r="R7" s="1" t="s">
        <v>18</v>
      </c>
      <c r="S7" s="1" t="s">
        <v>42</v>
      </c>
      <c r="T7" t="str">
        <f t="shared" ca="1" si="6"/>
        <v>A New Hope</v>
      </c>
      <c r="U7" s="4" t="str">
        <f t="shared" si="7"/>
        <v>Attack of the Clones</v>
      </c>
    </row>
    <row r="8" spans="1:21" ht="15.75" customHeight="1" x14ac:dyDescent="0.25">
      <c r="A8" s="1" t="s">
        <v>43</v>
      </c>
      <c r="B8" s="1">
        <v>165</v>
      </c>
      <c r="C8" s="1">
        <f t="shared" si="8"/>
        <v>1.65</v>
      </c>
      <c r="D8" s="1">
        <f t="shared" si="0"/>
        <v>64.5</v>
      </c>
      <c r="E8" s="1">
        <v>75</v>
      </c>
      <c r="F8" s="1">
        <f t="shared" si="9"/>
        <v>165.25</v>
      </c>
      <c r="G8" s="1">
        <f t="shared" si="2"/>
        <v>27.548209366391188</v>
      </c>
      <c r="H8" s="1" t="str">
        <f t="shared" si="1"/>
        <v>5.78185631344412 Less</v>
      </c>
      <c r="I8" s="4">
        <f t="shared" si="3"/>
        <v>13</v>
      </c>
      <c r="J8" s="4">
        <f t="shared" ca="1" si="4"/>
        <v>17155</v>
      </c>
      <c r="K8" s="5">
        <f ca="1">IFERROR(TODAY()-$J8, "NA")</f>
        <v>28882</v>
      </c>
      <c r="L8" s="1" t="s">
        <v>36</v>
      </c>
      <c r="M8" s="1" t="s">
        <v>37</v>
      </c>
      <c r="N8" s="1" t="s">
        <v>16</v>
      </c>
      <c r="O8" s="1">
        <v>47</v>
      </c>
      <c r="P8" s="4" t="b">
        <f t="shared" si="5"/>
        <v>1</v>
      </c>
      <c r="Q8" s="1" t="s">
        <v>17</v>
      </c>
      <c r="R8" s="1" t="s">
        <v>18</v>
      </c>
      <c r="S8" s="1" t="s">
        <v>42</v>
      </c>
      <c r="T8" t="str">
        <f t="shared" ca="1" si="6"/>
        <v>The Empire Strikes Back</v>
      </c>
      <c r="U8" s="4" t="str">
        <f t="shared" si="7"/>
        <v>Attack of the Clones</v>
      </c>
    </row>
    <row r="9" spans="1:21" ht="15.75" customHeight="1" x14ac:dyDescent="0.25">
      <c r="A9" s="1" t="s">
        <v>44</v>
      </c>
      <c r="B9" s="1">
        <v>97</v>
      </c>
      <c r="C9" s="1">
        <f t="shared" si="8"/>
        <v>0.97</v>
      </c>
      <c r="D9" s="1">
        <f t="shared" si="0"/>
        <v>38</v>
      </c>
      <c r="E9" s="1">
        <v>32</v>
      </c>
      <c r="F9" s="1">
        <f t="shared" si="9"/>
        <v>70.5</v>
      </c>
      <c r="G9" s="1">
        <f t="shared" si="2"/>
        <v>34.009990434690195</v>
      </c>
      <c r="H9" s="1" t="str">
        <f t="shared" si="1"/>
        <v>0.679924754854888 More</v>
      </c>
      <c r="I9" s="4">
        <f t="shared" si="3"/>
        <v>8</v>
      </c>
      <c r="J9" s="4" t="str">
        <f t="shared" ca="1" si="4"/>
        <v>NA</v>
      </c>
      <c r="K9" s="5" t="str">
        <f ca="1">IFERROR(TODAY()-$J9, "NA")</f>
        <v>NA</v>
      </c>
      <c r="L9" s="1" t="s">
        <v>21</v>
      </c>
      <c r="M9" s="1" t="s">
        <v>45</v>
      </c>
      <c r="N9" s="1" t="s">
        <v>28</v>
      </c>
      <c r="O9" s="1" t="s">
        <v>21</v>
      </c>
      <c r="P9" s="4" t="b">
        <f t="shared" si="5"/>
        <v>0</v>
      </c>
      <c r="Q9" s="1" t="s">
        <v>17</v>
      </c>
      <c r="R9" s="1" t="s">
        <v>24</v>
      </c>
      <c r="S9" s="1" t="s">
        <v>46</v>
      </c>
      <c r="T9" t="str">
        <f t="shared" ca="1" si="6"/>
        <v>A New Hope</v>
      </c>
      <c r="U9" s="4" t="str">
        <f t="shared" si="7"/>
        <v>A New Hope</v>
      </c>
    </row>
    <row r="10" spans="1:21" ht="15.75" customHeight="1" x14ac:dyDescent="0.25">
      <c r="A10" s="1" t="s">
        <v>47</v>
      </c>
      <c r="B10" s="1">
        <v>183</v>
      </c>
      <c r="C10" s="1">
        <f t="shared" si="8"/>
        <v>1.83</v>
      </c>
      <c r="D10" s="1">
        <f t="shared" si="0"/>
        <v>72</v>
      </c>
      <c r="E10" s="1">
        <v>84</v>
      </c>
      <c r="F10" s="1">
        <f t="shared" si="9"/>
        <v>185.25</v>
      </c>
      <c r="G10" s="1">
        <f t="shared" si="2"/>
        <v>25.082863029651524</v>
      </c>
      <c r="H10" s="1" t="str">
        <f t="shared" si="1"/>
        <v>8.24720265018378 Less</v>
      </c>
      <c r="I10" s="4">
        <f t="shared" si="3"/>
        <v>25</v>
      </c>
      <c r="J10" s="4">
        <f t="shared" ca="1" si="4"/>
        <v>8760</v>
      </c>
      <c r="K10" s="5">
        <f ca="1">IFERROR(TODAY()-$J10, "NA")</f>
        <v>37277</v>
      </c>
      <c r="L10" s="1" t="s">
        <v>48</v>
      </c>
      <c r="M10" s="1" t="s">
        <v>37</v>
      </c>
      <c r="N10" s="1" t="s">
        <v>36</v>
      </c>
      <c r="O10" s="1">
        <v>24</v>
      </c>
      <c r="P10" s="4" t="b">
        <f t="shared" si="5"/>
        <v>1</v>
      </c>
      <c r="Q10" s="1" t="s">
        <v>17</v>
      </c>
      <c r="R10" s="1" t="s">
        <v>18</v>
      </c>
      <c r="S10" s="1" t="s">
        <v>46</v>
      </c>
      <c r="T10" t="str">
        <f t="shared" ca="1" si="6"/>
        <v>Attack of the Clones</v>
      </c>
      <c r="U10" s="4" t="str">
        <f t="shared" si="7"/>
        <v>A New Hope</v>
      </c>
    </row>
    <row r="11" spans="1:21" ht="15.75" customHeight="1" x14ac:dyDescent="0.25">
      <c r="A11" s="1" t="s">
        <v>49</v>
      </c>
      <c r="B11" s="1">
        <v>182</v>
      </c>
      <c r="C11" s="1">
        <f>IFERROR(B11/100, "NA")</f>
        <v>1.82</v>
      </c>
      <c r="D11" s="1">
        <f t="shared" si="0"/>
        <v>71.5</v>
      </c>
      <c r="E11" s="1">
        <v>77</v>
      </c>
      <c r="F11" s="1">
        <f t="shared" si="9"/>
        <v>169.75</v>
      </c>
      <c r="G11" s="1">
        <f t="shared" si="2"/>
        <v>23.245984784446321</v>
      </c>
      <c r="H11" s="1" t="str">
        <f t="shared" si="1"/>
        <v>10.084080895389 Less</v>
      </c>
      <c r="I11" s="4">
        <f t="shared" si="3"/>
        <v>39</v>
      </c>
      <c r="J11" s="4">
        <f t="shared" ca="1" si="4"/>
        <v>20805</v>
      </c>
      <c r="K11" s="5">
        <f ca="1">IFERROR(TODAY()-$J11, "NA")</f>
        <v>25232</v>
      </c>
      <c r="L11" s="1" t="s">
        <v>50</v>
      </c>
      <c r="M11" s="1" t="s">
        <v>15</v>
      </c>
      <c r="N11" s="1" t="s">
        <v>51</v>
      </c>
      <c r="O11" s="1">
        <v>57</v>
      </c>
      <c r="P11" s="4" t="b">
        <f t="shared" si="5"/>
        <v>1</v>
      </c>
      <c r="Q11" s="1" t="s">
        <v>52</v>
      </c>
      <c r="R11" s="1" t="s">
        <v>18</v>
      </c>
      <c r="S11" s="1" t="s">
        <v>25</v>
      </c>
      <c r="T11" t="str">
        <f t="shared" ca="1" si="6"/>
        <v>A New Hope</v>
      </c>
      <c r="U11" s="4" t="str">
        <f t="shared" si="7"/>
        <v>Attack of the Clones</v>
      </c>
    </row>
    <row r="12" spans="1:21" ht="15.75" customHeight="1" x14ac:dyDescent="0.25">
      <c r="A12" s="1" t="s">
        <v>53</v>
      </c>
      <c r="B12" s="1">
        <v>188</v>
      </c>
      <c r="C12" s="1">
        <f>IFERROR(B12/100, "NA")</f>
        <v>1.88</v>
      </c>
      <c r="D12" s="1">
        <f t="shared" si="0"/>
        <v>74</v>
      </c>
      <c r="E12" s="1">
        <v>84</v>
      </c>
      <c r="F12" s="1">
        <f t="shared" si="9"/>
        <v>185.25</v>
      </c>
      <c r="G12" s="1">
        <f t="shared" si="2"/>
        <v>23.766410140334994</v>
      </c>
      <c r="H12" s="1" t="str">
        <f t="shared" si="1"/>
        <v>9.56365553950031 Less</v>
      </c>
      <c r="I12" s="4">
        <f t="shared" si="3"/>
        <v>35</v>
      </c>
      <c r="J12" s="4">
        <f t="shared" ca="1" si="4"/>
        <v>15293.500000000033</v>
      </c>
      <c r="K12" s="5">
        <f ca="1">IFERROR(TODAY()-$J12, "NA")</f>
        <v>30743.499999999967</v>
      </c>
      <c r="L12" s="1" t="s">
        <v>14</v>
      </c>
      <c r="M12" s="1" t="s">
        <v>15</v>
      </c>
      <c r="N12" s="1" t="s">
        <v>16</v>
      </c>
      <c r="O12" s="1">
        <v>41.9</v>
      </c>
      <c r="P12" s="4" t="b">
        <f t="shared" si="5"/>
        <v>1</v>
      </c>
      <c r="Q12" s="1" t="s">
        <v>17</v>
      </c>
      <c r="R12" s="1" t="s">
        <v>18</v>
      </c>
      <c r="S12" s="1" t="s">
        <v>54</v>
      </c>
      <c r="T12" t="str">
        <f t="shared" ca="1" si="6"/>
        <v>The Phantom Menace</v>
      </c>
      <c r="U12" s="4" t="str">
        <f t="shared" si="7"/>
        <v>Attack of the Clones</v>
      </c>
    </row>
    <row r="13" spans="1:21" ht="15.75" customHeight="1" x14ac:dyDescent="0.25">
      <c r="A13" s="1" t="s">
        <v>55</v>
      </c>
      <c r="B13" s="1">
        <v>180</v>
      </c>
      <c r="C13" s="1">
        <f t="shared" ref="C13:C76" si="10">IFERROR(B13/100, "NA")</f>
        <v>1.8</v>
      </c>
      <c r="D13" s="1">
        <f t="shared" si="0"/>
        <v>70.5</v>
      </c>
      <c r="E13" s="1" t="s">
        <v>21</v>
      </c>
      <c r="F13" s="1" t="str">
        <f t="shared" si="9"/>
        <v>NA</v>
      </c>
      <c r="G13" s="1">
        <f t="shared" si="2"/>
        <v>0</v>
      </c>
      <c r="H13" s="1" t="str">
        <f t="shared" si="1"/>
        <v>33.3300656798353 Less</v>
      </c>
      <c r="I13" s="4">
        <f t="shared" si="3"/>
        <v>60</v>
      </c>
      <c r="J13" s="4">
        <f t="shared" ca="1" si="4"/>
        <v>23360</v>
      </c>
      <c r="K13" s="5">
        <f ca="1">IFERROR(TODAY()-$J13, "NA")</f>
        <v>22677</v>
      </c>
      <c r="L13" s="1" t="s">
        <v>56</v>
      </c>
      <c r="M13" s="1" t="s">
        <v>15</v>
      </c>
      <c r="N13" s="1" t="s">
        <v>16</v>
      </c>
      <c r="O13" s="1">
        <v>64</v>
      </c>
      <c r="P13" s="4" t="b">
        <f t="shared" si="5"/>
        <v>1</v>
      </c>
      <c r="Q13" s="1" t="s">
        <v>57</v>
      </c>
      <c r="R13" s="1" t="s">
        <v>18</v>
      </c>
      <c r="S13" s="1" t="s">
        <v>58</v>
      </c>
      <c r="T13" t="str">
        <f t="shared" ca="1" si="6"/>
        <v>A New Hope</v>
      </c>
      <c r="U13" s="4" t="str">
        <f t="shared" si="7"/>
        <v>Revenge of the Sith</v>
      </c>
    </row>
    <row r="14" spans="1:21" ht="15.75" customHeight="1" x14ac:dyDescent="0.25">
      <c r="A14" s="1" t="s">
        <v>59</v>
      </c>
      <c r="B14" s="1">
        <v>228</v>
      </c>
      <c r="C14" s="1">
        <f t="shared" si="10"/>
        <v>2.2799999999999998</v>
      </c>
      <c r="D14" s="1">
        <f t="shared" si="0"/>
        <v>89.5</v>
      </c>
      <c r="E14" s="1">
        <v>112</v>
      </c>
      <c r="F14" s="1">
        <f t="shared" si="9"/>
        <v>247</v>
      </c>
      <c r="G14" s="1">
        <f t="shared" si="2"/>
        <v>21.545090797168363</v>
      </c>
      <c r="H14" s="1" t="str">
        <f t="shared" si="1"/>
        <v>11.7849748826669 Less</v>
      </c>
      <c r="I14" s="4">
        <f t="shared" si="3"/>
        <v>44</v>
      </c>
      <c r="J14" s="4">
        <f t="shared" ca="1" si="4"/>
        <v>73000</v>
      </c>
      <c r="K14" s="5">
        <f ca="1">IFERROR(TODAY()-$J14, "NA")</f>
        <v>-26963</v>
      </c>
      <c r="L14" s="1" t="s">
        <v>36</v>
      </c>
      <c r="M14" s="1" t="s">
        <v>60</v>
      </c>
      <c r="N14" s="1" t="s">
        <v>16</v>
      </c>
      <c r="O14" s="1">
        <v>200</v>
      </c>
      <c r="P14" s="4" t="b">
        <f t="shared" si="5"/>
        <v>1</v>
      </c>
      <c r="Q14" s="1" t="s">
        <v>61</v>
      </c>
      <c r="R14" s="1" t="s">
        <v>62</v>
      </c>
      <c r="S14" s="1" t="s">
        <v>39</v>
      </c>
      <c r="T14" t="str">
        <f t="shared" ca="1" si="6"/>
        <v>A New Hope</v>
      </c>
      <c r="U14" s="4" t="str">
        <f t="shared" si="7"/>
        <v>Revenge of the Sith</v>
      </c>
    </row>
    <row r="15" spans="1:21" ht="15.75" customHeight="1" x14ac:dyDescent="0.25">
      <c r="A15" s="1" t="s">
        <v>63</v>
      </c>
      <c r="B15" s="1">
        <v>180</v>
      </c>
      <c r="C15" s="1">
        <f t="shared" si="10"/>
        <v>1.8</v>
      </c>
      <c r="D15" s="1">
        <f t="shared" si="0"/>
        <v>70.5</v>
      </c>
      <c r="E15" s="1">
        <v>80</v>
      </c>
      <c r="F15" s="1">
        <f t="shared" si="9"/>
        <v>176.25</v>
      </c>
      <c r="G15" s="1">
        <f t="shared" si="2"/>
        <v>24.691358024691358</v>
      </c>
      <c r="H15" s="1" t="str">
        <f t="shared" si="1"/>
        <v>8.63870765514395 Less</v>
      </c>
      <c r="I15" s="4">
        <f t="shared" si="3"/>
        <v>29</v>
      </c>
      <c r="J15" s="4">
        <f t="shared" ca="1" si="4"/>
        <v>10585</v>
      </c>
      <c r="K15" s="5">
        <f ca="1">IFERROR(TODAY()-$J15, "NA")</f>
        <v>35452</v>
      </c>
      <c r="L15" s="1" t="s">
        <v>36</v>
      </c>
      <c r="M15" s="1" t="s">
        <v>15</v>
      </c>
      <c r="N15" s="1" t="s">
        <v>36</v>
      </c>
      <c r="O15" s="1">
        <v>29</v>
      </c>
      <c r="P15" s="4" t="b">
        <f t="shared" si="5"/>
        <v>1</v>
      </c>
      <c r="Q15" s="1" t="s">
        <v>64</v>
      </c>
      <c r="R15" s="1" t="s">
        <v>18</v>
      </c>
      <c r="S15" s="1" t="s">
        <v>65</v>
      </c>
      <c r="T15" t="str">
        <f t="shared" ca="1" si="6"/>
        <v>The Phantom Menace</v>
      </c>
      <c r="U15" s="4" t="str">
        <f t="shared" si="7"/>
        <v>Return of the Jedi</v>
      </c>
    </row>
    <row r="16" spans="1:21" ht="15.75" customHeight="1" x14ac:dyDescent="0.25">
      <c r="A16" s="1" t="s">
        <v>66</v>
      </c>
      <c r="B16" s="1">
        <v>173</v>
      </c>
      <c r="C16" s="1">
        <f t="shared" si="10"/>
        <v>1.73</v>
      </c>
      <c r="D16" s="1">
        <f t="shared" si="0"/>
        <v>68</v>
      </c>
      <c r="E16" s="1">
        <v>74</v>
      </c>
      <c r="F16" s="1">
        <f t="shared" si="9"/>
        <v>163.25</v>
      </c>
      <c r="G16" s="1">
        <f t="shared" si="2"/>
        <v>24.725182932941294</v>
      </c>
      <c r="H16" s="1" t="str">
        <f t="shared" si="1"/>
        <v>8.60488274689401 Less</v>
      </c>
      <c r="I16" s="4">
        <f t="shared" si="3"/>
        <v>28</v>
      </c>
      <c r="J16" s="4">
        <f t="shared" ca="1" si="4"/>
        <v>16060</v>
      </c>
      <c r="K16" s="5">
        <f ca="1">IFERROR(TODAY()-$J16, "NA")</f>
        <v>29977</v>
      </c>
      <c r="L16" s="1" t="s">
        <v>21</v>
      </c>
      <c r="M16" s="1" t="s">
        <v>67</v>
      </c>
      <c r="N16" s="1" t="s">
        <v>48</v>
      </c>
      <c r="O16" s="1">
        <v>44</v>
      </c>
      <c r="P16" s="4" t="b">
        <f t="shared" si="5"/>
        <v>1</v>
      </c>
      <c r="Q16" s="1" t="s">
        <v>68</v>
      </c>
      <c r="R16" s="1" t="s">
        <v>69</v>
      </c>
      <c r="S16" s="1" t="s">
        <v>46</v>
      </c>
      <c r="T16" t="str">
        <f t="shared" ca="1" si="6"/>
        <v>Return of the Jedi</v>
      </c>
      <c r="U16" s="4" t="str">
        <f t="shared" si="7"/>
        <v>A New Hope</v>
      </c>
    </row>
    <row r="17" spans="1:21" ht="15.75" customHeight="1" x14ac:dyDescent="0.25">
      <c r="A17" s="1" t="s">
        <v>70</v>
      </c>
      <c r="B17" s="1">
        <v>175</v>
      </c>
      <c r="C17" s="1">
        <f t="shared" si="10"/>
        <v>1.75</v>
      </c>
      <c r="D17" s="1">
        <f t="shared" si="0"/>
        <v>68.5</v>
      </c>
      <c r="E17" s="1">
        <v>1358</v>
      </c>
      <c r="F17" s="1">
        <f t="shared" si="9"/>
        <v>2994</v>
      </c>
      <c r="G17" s="1">
        <f t="shared" si="2"/>
        <v>443.42857142857144</v>
      </c>
      <c r="H17" s="1" t="str">
        <f t="shared" si="1"/>
        <v>410.098505748736 More</v>
      </c>
      <c r="I17" s="4">
        <f t="shared" si="3"/>
        <v>1</v>
      </c>
      <c r="J17" s="4">
        <f t="shared" ca="1" si="4"/>
        <v>219000</v>
      </c>
      <c r="K17" s="5">
        <f ca="1">IFERROR(TODAY()-$J17, "NA")</f>
        <v>-172963</v>
      </c>
      <c r="L17" s="1" t="s">
        <v>21</v>
      </c>
      <c r="M17" s="1" t="s">
        <v>71</v>
      </c>
      <c r="N17" s="1" t="s">
        <v>72</v>
      </c>
      <c r="O17" s="1">
        <v>600</v>
      </c>
      <c r="P17" s="4" t="b">
        <f t="shared" si="5"/>
        <v>1</v>
      </c>
      <c r="Q17" s="1" t="s">
        <v>73</v>
      </c>
      <c r="R17" s="1" t="s">
        <v>74</v>
      </c>
      <c r="S17" s="1" t="s">
        <v>75</v>
      </c>
      <c r="T17" t="str">
        <f t="shared" ca="1" si="6"/>
        <v>A New Hope</v>
      </c>
      <c r="U17" s="4" t="str">
        <f t="shared" si="7"/>
        <v>The Phantom Menace</v>
      </c>
    </row>
    <row r="18" spans="1:21" ht="15.75" customHeight="1" x14ac:dyDescent="0.25">
      <c r="A18" s="1" t="s">
        <v>76</v>
      </c>
      <c r="B18" s="1">
        <v>170</v>
      </c>
      <c r="C18" s="1">
        <f t="shared" si="10"/>
        <v>1.7</v>
      </c>
      <c r="D18" s="1">
        <f t="shared" si="0"/>
        <v>66.5</v>
      </c>
      <c r="E18" s="1">
        <v>77</v>
      </c>
      <c r="F18" s="1">
        <f t="shared" si="9"/>
        <v>169.75</v>
      </c>
      <c r="G18" s="1">
        <f t="shared" si="2"/>
        <v>26.643598615916957</v>
      </c>
      <c r="H18" s="1" t="str">
        <f t="shared" si="1"/>
        <v>6.68646706391835 Less</v>
      </c>
      <c r="I18" s="4">
        <f t="shared" si="3"/>
        <v>15</v>
      </c>
      <c r="J18" s="4">
        <f t="shared" ca="1" si="4"/>
        <v>7665</v>
      </c>
      <c r="K18" s="5">
        <f ca="1">IFERROR(TODAY()-$J18, "NA")</f>
        <v>38372</v>
      </c>
      <c r="L18" s="1" t="s">
        <v>36</v>
      </c>
      <c r="M18" s="1" t="s">
        <v>15</v>
      </c>
      <c r="N18" s="1" t="s">
        <v>77</v>
      </c>
      <c r="O18" s="1">
        <v>21</v>
      </c>
      <c r="P18" s="4" t="b">
        <f t="shared" si="5"/>
        <v>1</v>
      </c>
      <c r="Q18" s="1" t="s">
        <v>64</v>
      </c>
      <c r="R18" s="1" t="s">
        <v>18</v>
      </c>
      <c r="S18" s="1" t="s">
        <v>78</v>
      </c>
      <c r="T18" t="str">
        <f t="shared" ca="1" si="6"/>
        <v>Revenge of the Sith</v>
      </c>
      <c r="U18" s="4" t="str">
        <f t="shared" si="7"/>
        <v>Return of the Jedi</v>
      </c>
    </row>
    <row r="19" spans="1:21" ht="15.75" customHeight="1" x14ac:dyDescent="0.25">
      <c r="A19" s="1" t="s">
        <v>79</v>
      </c>
      <c r="B19" s="1">
        <v>180</v>
      </c>
      <c r="C19" s="1">
        <f t="shared" si="10"/>
        <v>1.8</v>
      </c>
      <c r="D19" s="1">
        <f t="shared" si="0"/>
        <v>70.5</v>
      </c>
      <c r="E19" s="1">
        <v>110</v>
      </c>
      <c r="F19" s="1">
        <f t="shared" si="9"/>
        <v>242.5</v>
      </c>
      <c r="G19" s="1">
        <f t="shared" si="2"/>
        <v>33.950617283950614</v>
      </c>
      <c r="H19" s="1" t="str">
        <f t="shared" si="1"/>
        <v>0.620551604115306 More</v>
      </c>
      <c r="I19" s="4">
        <f t="shared" si="3"/>
        <v>9</v>
      </c>
      <c r="J19" s="4" t="str">
        <f t="shared" ca="1" si="4"/>
        <v>NA</v>
      </c>
      <c r="K19" s="5" t="str">
        <f ca="1">IFERROR(TODAY()-$J19, "NA")</f>
        <v>NA</v>
      </c>
      <c r="L19" s="1" t="s">
        <v>36</v>
      </c>
      <c r="M19" s="1" t="s">
        <v>15</v>
      </c>
      <c r="N19" s="1" t="s">
        <v>16</v>
      </c>
      <c r="O19" s="1" t="s">
        <v>21</v>
      </c>
      <c r="P19" s="4" t="b">
        <f t="shared" si="5"/>
        <v>0</v>
      </c>
      <c r="Q19" s="1" t="s">
        <v>80</v>
      </c>
      <c r="R19" s="1" t="s">
        <v>18</v>
      </c>
      <c r="S19" s="1" t="s">
        <v>46</v>
      </c>
      <c r="T19" t="str">
        <f t="shared" ca="1" si="6"/>
        <v>A New Hope</v>
      </c>
      <c r="U19" s="4" t="str">
        <f t="shared" si="7"/>
        <v>A New Hope</v>
      </c>
    </row>
    <row r="20" spans="1:21" ht="15.75" customHeight="1" x14ac:dyDescent="0.25">
      <c r="A20" s="1" t="s">
        <v>81</v>
      </c>
      <c r="B20" s="1">
        <v>66</v>
      </c>
      <c r="C20" s="1">
        <f t="shared" si="10"/>
        <v>0.66</v>
      </c>
      <c r="D20" s="1">
        <f t="shared" si="0"/>
        <v>25.5</v>
      </c>
      <c r="E20" s="1">
        <v>17</v>
      </c>
      <c r="F20" s="1">
        <f t="shared" si="9"/>
        <v>37.5</v>
      </c>
      <c r="G20" s="1">
        <f t="shared" si="2"/>
        <v>39.026629935720841</v>
      </c>
      <c r="H20" s="1" t="str">
        <f t="shared" si="1"/>
        <v>5.69656425588553 More</v>
      </c>
      <c r="I20" s="4">
        <f t="shared" si="3"/>
        <v>3</v>
      </c>
      <c r="J20" s="4">
        <f t="shared" ca="1" si="4"/>
        <v>327040</v>
      </c>
      <c r="K20" s="5">
        <f ca="1">IFERROR(TODAY()-$J20, "NA")</f>
        <v>-281003</v>
      </c>
      <c r="L20" s="1" t="s">
        <v>33</v>
      </c>
      <c r="M20" s="1" t="s">
        <v>67</v>
      </c>
      <c r="N20" s="1" t="s">
        <v>36</v>
      </c>
      <c r="O20" s="1">
        <v>896</v>
      </c>
      <c r="P20" s="4" t="b">
        <f t="shared" si="5"/>
        <v>1</v>
      </c>
      <c r="Q20" s="1" t="s">
        <v>21</v>
      </c>
      <c r="R20" s="1" t="s">
        <v>82</v>
      </c>
      <c r="S20" s="1" t="s">
        <v>83</v>
      </c>
      <c r="T20" t="str">
        <f t="shared" ca="1" si="6"/>
        <v>A New Hope</v>
      </c>
      <c r="U20" s="4" t="str">
        <f t="shared" si="7"/>
        <v>Attack of the Clones</v>
      </c>
    </row>
    <row r="21" spans="1:21" ht="15.75" customHeight="1" x14ac:dyDescent="0.25">
      <c r="A21" s="1" t="s">
        <v>84</v>
      </c>
      <c r="B21" s="1">
        <v>170</v>
      </c>
      <c r="C21" s="1">
        <f t="shared" si="10"/>
        <v>1.7</v>
      </c>
      <c r="D21" s="1">
        <f t="shared" si="0"/>
        <v>66.5</v>
      </c>
      <c r="E21" s="1">
        <v>75</v>
      </c>
      <c r="F21" s="1">
        <f t="shared" si="9"/>
        <v>165.25</v>
      </c>
      <c r="G21" s="1">
        <f t="shared" si="2"/>
        <v>25.95155709342561</v>
      </c>
      <c r="H21" s="1" t="str">
        <f t="shared" si="1"/>
        <v>7.3785085864097 Less</v>
      </c>
      <c r="I21" s="4">
        <f t="shared" si="3"/>
        <v>20</v>
      </c>
      <c r="J21" s="4">
        <f t="shared" ca="1" si="4"/>
        <v>29930</v>
      </c>
      <c r="K21" s="5">
        <f ca="1">IFERROR(TODAY()-$J21, "NA")</f>
        <v>16107</v>
      </c>
      <c r="L21" s="1" t="s">
        <v>85</v>
      </c>
      <c r="M21" s="1" t="s">
        <v>86</v>
      </c>
      <c r="N21" s="1" t="s">
        <v>23</v>
      </c>
      <c r="O21" s="1">
        <v>82</v>
      </c>
      <c r="P21" s="4" t="b">
        <f t="shared" si="5"/>
        <v>1</v>
      </c>
      <c r="Q21" s="1" t="s">
        <v>29</v>
      </c>
      <c r="R21" s="1" t="s">
        <v>18</v>
      </c>
      <c r="S21" s="1" t="s">
        <v>87</v>
      </c>
      <c r="T21" t="str">
        <f t="shared" ca="1" si="6"/>
        <v>A New Hope</v>
      </c>
      <c r="U21" s="4" t="str">
        <f t="shared" si="7"/>
        <v>Attack of the Clones</v>
      </c>
    </row>
    <row r="22" spans="1:21" ht="15.75" customHeight="1" x14ac:dyDescent="0.25">
      <c r="A22" s="1" t="s">
        <v>88</v>
      </c>
      <c r="B22" s="1">
        <v>183</v>
      </c>
      <c r="C22" s="1">
        <f t="shared" si="10"/>
        <v>1.83</v>
      </c>
      <c r="D22" s="1">
        <f t="shared" si="0"/>
        <v>72</v>
      </c>
      <c r="E22" s="1">
        <v>78.2</v>
      </c>
      <c r="F22" s="1">
        <f t="shared" si="9"/>
        <v>172.5</v>
      </c>
      <c r="G22" s="1">
        <f t="shared" si="2"/>
        <v>23.350951058556539</v>
      </c>
      <c r="H22" s="1" t="str">
        <f t="shared" si="1"/>
        <v>9.97911462127877 Less</v>
      </c>
      <c r="I22" s="4">
        <f t="shared" si="3"/>
        <v>38</v>
      </c>
      <c r="J22" s="4">
        <f t="shared" ca="1" si="4"/>
        <v>11497.5</v>
      </c>
      <c r="K22" s="5">
        <f ca="1">IFERROR(TODAY()-$J22, "NA")</f>
        <v>34539.5</v>
      </c>
      <c r="L22" s="1" t="s">
        <v>48</v>
      </c>
      <c r="M22" s="1" t="s">
        <v>15</v>
      </c>
      <c r="N22" s="1" t="s">
        <v>36</v>
      </c>
      <c r="O22" s="1">
        <v>31.5</v>
      </c>
      <c r="P22" s="4" t="b">
        <f t="shared" si="5"/>
        <v>1</v>
      </c>
      <c r="Q22" s="1" t="s">
        <v>89</v>
      </c>
      <c r="R22" s="1" t="s">
        <v>18</v>
      </c>
      <c r="S22" s="1" t="s">
        <v>90</v>
      </c>
      <c r="T22" t="str">
        <f t="shared" ca="1" si="6"/>
        <v>The Phantom Menace</v>
      </c>
      <c r="U22" s="4" t="str">
        <f t="shared" si="7"/>
        <v>Attack of the Clones</v>
      </c>
    </row>
    <row r="23" spans="1:21" ht="15.75" customHeight="1" x14ac:dyDescent="0.25">
      <c r="A23" s="1" t="s">
        <v>91</v>
      </c>
      <c r="B23" s="1">
        <v>200</v>
      </c>
      <c r="C23" s="1">
        <f t="shared" si="10"/>
        <v>2</v>
      </c>
      <c r="D23" s="1">
        <f t="shared" si="0"/>
        <v>78.5</v>
      </c>
      <c r="E23" s="1">
        <v>140</v>
      </c>
      <c r="F23" s="1">
        <f t="shared" si="9"/>
        <v>308.75</v>
      </c>
      <c r="G23" s="1">
        <f t="shared" si="2"/>
        <v>35</v>
      </c>
      <c r="H23" s="1" t="str">
        <f t="shared" si="1"/>
        <v>1.66993432016469 More</v>
      </c>
      <c r="I23" s="4">
        <f t="shared" si="3"/>
        <v>5</v>
      </c>
      <c r="J23" s="4">
        <f t="shared" ca="1" si="4"/>
        <v>5475</v>
      </c>
      <c r="K23" s="5">
        <f ca="1">IFERROR(TODAY()-$J23, "NA")</f>
        <v>40562</v>
      </c>
      <c r="L23" s="1" t="s">
        <v>32</v>
      </c>
      <c r="M23" s="1" t="s">
        <v>92</v>
      </c>
      <c r="N23" s="1" t="s">
        <v>28</v>
      </c>
      <c r="O23" s="1">
        <v>15</v>
      </c>
      <c r="P23" s="4" t="b">
        <f t="shared" si="5"/>
        <v>1</v>
      </c>
      <c r="Q23" s="1" t="s">
        <v>21</v>
      </c>
      <c r="R23" s="1" t="s">
        <v>24</v>
      </c>
      <c r="S23" s="1" t="s">
        <v>93</v>
      </c>
      <c r="T23" t="str">
        <f t="shared" ca="1" si="6"/>
        <v>The Force Awakens</v>
      </c>
      <c r="U23" s="4" t="str">
        <f t="shared" si="7"/>
        <v>The Empire Strikes Back</v>
      </c>
    </row>
    <row r="24" spans="1:21" ht="15.75" customHeight="1" x14ac:dyDescent="0.25">
      <c r="A24" s="1" t="s">
        <v>94</v>
      </c>
      <c r="B24" s="1">
        <v>190</v>
      </c>
      <c r="C24" s="1">
        <f t="shared" si="10"/>
        <v>1.9</v>
      </c>
      <c r="D24" s="1">
        <f t="shared" si="0"/>
        <v>74.5</v>
      </c>
      <c r="E24" s="1">
        <v>113</v>
      </c>
      <c r="F24" s="1">
        <f t="shared" si="9"/>
        <v>249</v>
      </c>
      <c r="G24" s="1">
        <f t="shared" si="2"/>
        <v>31.301939058171747</v>
      </c>
      <c r="H24" s="1" t="str">
        <f t="shared" si="1"/>
        <v>2.02812662166356 Less</v>
      </c>
      <c r="I24" s="4">
        <f t="shared" si="3"/>
        <v>12</v>
      </c>
      <c r="J24" s="4">
        <f t="shared" ca="1" si="4"/>
        <v>19345</v>
      </c>
      <c r="K24" s="5">
        <f ca="1">IFERROR(TODAY()-$J24, "NA")</f>
        <v>26692</v>
      </c>
      <c r="L24" s="1" t="s">
        <v>32</v>
      </c>
      <c r="M24" s="1" t="s">
        <v>67</v>
      </c>
      <c r="N24" s="1" t="s">
        <v>28</v>
      </c>
      <c r="O24" s="1">
        <v>53</v>
      </c>
      <c r="P24" s="4" t="b">
        <f t="shared" si="5"/>
        <v>1</v>
      </c>
      <c r="Q24" s="1" t="s">
        <v>95</v>
      </c>
      <c r="R24" s="1" t="s">
        <v>96</v>
      </c>
      <c r="S24" s="1" t="s">
        <v>93</v>
      </c>
      <c r="T24" t="str">
        <f t="shared" ca="1" si="6"/>
        <v>A New Hope</v>
      </c>
      <c r="U24" s="4" t="str">
        <f t="shared" si="7"/>
        <v>The Empire Strikes Back</v>
      </c>
    </row>
    <row r="25" spans="1:21" ht="15.75" customHeight="1" x14ac:dyDescent="0.25">
      <c r="A25" s="1" t="s">
        <v>97</v>
      </c>
      <c r="B25" s="1">
        <v>177</v>
      </c>
      <c r="C25" s="1">
        <f t="shared" si="10"/>
        <v>1.77</v>
      </c>
      <c r="D25" s="1">
        <f t="shared" si="0"/>
        <v>69.5</v>
      </c>
      <c r="E25" s="1">
        <v>79</v>
      </c>
      <c r="F25" s="1">
        <f t="shared" si="9"/>
        <v>174.25</v>
      </c>
      <c r="G25" s="1">
        <f t="shared" si="2"/>
        <v>25.216253311628201</v>
      </c>
      <c r="H25" s="1" t="str">
        <f t="shared" si="1"/>
        <v>8.11381236820711 Less</v>
      </c>
      <c r="I25" s="4">
        <f t="shared" si="3"/>
        <v>24</v>
      </c>
      <c r="J25" s="4">
        <f t="shared" ca="1" si="4"/>
        <v>11315</v>
      </c>
      <c r="K25" s="5">
        <f ca="1">IFERROR(TODAY()-$J25, "NA")</f>
        <v>34722</v>
      </c>
      <c r="L25" s="1" t="s">
        <v>48</v>
      </c>
      <c r="M25" s="1" t="s">
        <v>98</v>
      </c>
      <c r="N25" s="1" t="s">
        <v>36</v>
      </c>
      <c r="O25" s="1">
        <v>31</v>
      </c>
      <c r="P25" s="4" t="b">
        <f t="shared" si="5"/>
        <v>1</v>
      </c>
      <c r="Q25" s="1" t="s">
        <v>99</v>
      </c>
      <c r="R25" s="1" t="s">
        <v>18</v>
      </c>
      <c r="S25" s="1" t="s">
        <v>100</v>
      </c>
      <c r="T25" t="str">
        <f t="shared" ca="1" si="6"/>
        <v>The Phantom Menace</v>
      </c>
      <c r="U25" s="4" t="str">
        <f t="shared" si="7"/>
        <v>Return of the Jedi</v>
      </c>
    </row>
    <row r="26" spans="1:21" ht="15.75" customHeight="1" x14ac:dyDescent="0.25">
      <c r="A26" s="1" t="s">
        <v>101</v>
      </c>
      <c r="B26" s="1">
        <v>175</v>
      </c>
      <c r="C26" s="1">
        <f t="shared" si="10"/>
        <v>1.75</v>
      </c>
      <c r="D26" s="1">
        <f t="shared" si="0"/>
        <v>68.5</v>
      </c>
      <c r="E26" s="1">
        <v>79</v>
      </c>
      <c r="F26" s="1">
        <f t="shared" si="9"/>
        <v>174.25</v>
      </c>
      <c r="G26" s="1">
        <f t="shared" si="2"/>
        <v>25.795918367346939</v>
      </c>
      <c r="H26" s="1" t="str">
        <f t="shared" si="1"/>
        <v>7.53414731248837 Less</v>
      </c>
      <c r="I26" s="4">
        <f t="shared" si="3"/>
        <v>22</v>
      </c>
      <c r="J26" s="4">
        <f t="shared" ca="1" si="4"/>
        <v>13505</v>
      </c>
      <c r="K26" s="5">
        <f ca="1">IFERROR(TODAY()-$J26, "NA")</f>
        <v>32532</v>
      </c>
      <c r="L26" s="1" t="s">
        <v>32</v>
      </c>
      <c r="M26" s="1" t="s">
        <v>37</v>
      </c>
      <c r="N26" s="1" t="s">
        <v>16</v>
      </c>
      <c r="O26" s="1">
        <v>37</v>
      </c>
      <c r="P26" s="4" t="b">
        <f t="shared" si="5"/>
        <v>1</v>
      </c>
      <c r="Q26" s="1" t="s">
        <v>102</v>
      </c>
      <c r="R26" s="1" t="s">
        <v>18</v>
      </c>
      <c r="S26" s="1" t="s">
        <v>93</v>
      </c>
      <c r="T26" t="str">
        <f t="shared" ca="1" si="6"/>
        <v>The Phantom Menace</v>
      </c>
      <c r="U26" s="4" t="str">
        <f t="shared" si="7"/>
        <v>The Empire Strikes Back</v>
      </c>
    </row>
    <row r="27" spans="1:21" ht="15.75" customHeight="1" x14ac:dyDescent="0.25">
      <c r="A27" s="1" t="s">
        <v>103</v>
      </c>
      <c r="B27" s="1">
        <v>180</v>
      </c>
      <c r="C27" s="1">
        <f t="shared" si="10"/>
        <v>1.8</v>
      </c>
      <c r="D27" s="1">
        <f t="shared" si="0"/>
        <v>70.5</v>
      </c>
      <c r="E27" s="1">
        <v>83</v>
      </c>
      <c r="F27" s="1">
        <f t="shared" si="9"/>
        <v>183</v>
      </c>
      <c r="G27" s="1">
        <f t="shared" si="2"/>
        <v>25.617283950617281</v>
      </c>
      <c r="H27" s="1" t="str">
        <f t="shared" si="1"/>
        <v>7.71278172921803 Less</v>
      </c>
      <c r="I27" s="4">
        <f t="shared" si="3"/>
        <v>23</v>
      </c>
      <c r="J27" s="4">
        <f t="shared" ca="1" si="4"/>
        <v>14965</v>
      </c>
      <c r="K27" s="5">
        <f ca="1">IFERROR(TODAY()-$J27, "NA")</f>
        <v>31072</v>
      </c>
      <c r="L27" s="1" t="s">
        <v>32</v>
      </c>
      <c r="M27" s="1" t="s">
        <v>104</v>
      </c>
      <c r="N27" s="1" t="s">
        <v>72</v>
      </c>
      <c r="O27" s="1">
        <v>41</v>
      </c>
      <c r="P27" s="4" t="b">
        <f t="shared" si="5"/>
        <v>1</v>
      </c>
      <c r="Q27" s="1" t="s">
        <v>105</v>
      </c>
      <c r="R27" s="1" t="s">
        <v>106</v>
      </c>
      <c r="S27" s="1" t="s">
        <v>107</v>
      </c>
      <c r="T27" t="str">
        <f t="shared" ca="1" si="6"/>
        <v>The Phantom Menace</v>
      </c>
      <c r="U27" s="4" t="str">
        <f t="shared" si="7"/>
        <v>Return of the Jedi</v>
      </c>
    </row>
    <row r="28" spans="1:21" ht="15.75" customHeight="1" x14ac:dyDescent="0.25">
      <c r="A28" s="1" t="s">
        <v>108</v>
      </c>
      <c r="B28" s="1">
        <v>150</v>
      </c>
      <c r="C28" s="1">
        <f t="shared" si="10"/>
        <v>1.5</v>
      </c>
      <c r="D28" s="1">
        <f t="shared" si="0"/>
        <v>59</v>
      </c>
      <c r="E28" s="1" t="s">
        <v>21</v>
      </c>
      <c r="F28" s="1" t="str">
        <f t="shared" si="9"/>
        <v>NA</v>
      </c>
      <c r="G28" s="1">
        <f t="shared" si="2"/>
        <v>0</v>
      </c>
      <c r="H28" s="1" t="str">
        <f t="shared" si="1"/>
        <v>33.3300656798353 Less</v>
      </c>
      <c r="I28" s="4">
        <f t="shared" si="3"/>
        <v>60</v>
      </c>
      <c r="J28" s="4">
        <f t="shared" ca="1" si="4"/>
        <v>17520</v>
      </c>
      <c r="K28" s="5">
        <f ca="1">IFERROR(TODAY()-$J28, "NA")</f>
        <v>28517</v>
      </c>
      <c r="L28" s="1" t="s">
        <v>109</v>
      </c>
      <c r="M28" s="1" t="s">
        <v>15</v>
      </c>
      <c r="N28" s="1" t="s">
        <v>16</v>
      </c>
      <c r="O28" s="1">
        <v>48</v>
      </c>
      <c r="P28" s="4" t="b">
        <f t="shared" si="5"/>
        <v>1</v>
      </c>
      <c r="Q28" s="1" t="s">
        <v>110</v>
      </c>
      <c r="R28" s="1" t="s">
        <v>18</v>
      </c>
      <c r="S28" s="1" t="s">
        <v>111</v>
      </c>
      <c r="T28" t="str">
        <f t="shared" ca="1" si="6"/>
        <v>The Empire Strikes Back</v>
      </c>
      <c r="U28" s="4" t="str">
        <f t="shared" si="7"/>
        <v>Return of the Jedi</v>
      </c>
    </row>
    <row r="29" spans="1:21" ht="15.75" customHeight="1" x14ac:dyDescent="0.25">
      <c r="A29" s="1" t="s">
        <v>112</v>
      </c>
      <c r="B29" s="1" t="s">
        <v>21</v>
      </c>
      <c r="C29" s="1" t="str">
        <f t="shared" si="10"/>
        <v>NA</v>
      </c>
      <c r="D29" s="1" t="str">
        <f t="shared" si="0"/>
        <v>NA</v>
      </c>
      <c r="E29" s="1" t="s">
        <v>21</v>
      </c>
      <c r="F29" s="1" t="str">
        <f t="shared" si="9"/>
        <v>NA</v>
      </c>
      <c r="G29" s="1">
        <f t="shared" si="2"/>
        <v>0</v>
      </c>
      <c r="H29" s="1" t="str">
        <f t="shared" si="1"/>
        <v>33.3300656798353 Less</v>
      </c>
      <c r="I29" s="4">
        <f t="shared" si="3"/>
        <v>60</v>
      </c>
      <c r="J29" s="4" t="str">
        <f t="shared" ca="1" si="4"/>
        <v>NA</v>
      </c>
      <c r="K29" s="5" t="str">
        <f ca="1">IFERROR(TODAY()-$J29, "NA")</f>
        <v>NA</v>
      </c>
      <c r="L29" s="1" t="s">
        <v>36</v>
      </c>
      <c r="M29" s="1" t="s">
        <v>15</v>
      </c>
      <c r="N29" s="1" t="s">
        <v>36</v>
      </c>
      <c r="O29" s="1" t="s">
        <v>21</v>
      </c>
      <c r="P29" s="4" t="b">
        <f t="shared" si="5"/>
        <v>0</v>
      </c>
      <c r="Q29" s="1" t="s">
        <v>21</v>
      </c>
      <c r="R29" s="1" t="s">
        <v>18</v>
      </c>
      <c r="S29" s="1" t="s">
        <v>111</v>
      </c>
      <c r="T29" t="str">
        <f t="shared" ca="1" si="6"/>
        <v>A New Hope</v>
      </c>
      <c r="U29" s="4" t="str">
        <f t="shared" si="7"/>
        <v>Return of the Jedi</v>
      </c>
    </row>
    <row r="30" spans="1:21" ht="15.75" customHeight="1" x14ac:dyDescent="0.25">
      <c r="A30" s="1" t="s">
        <v>113</v>
      </c>
      <c r="B30" s="1">
        <v>88</v>
      </c>
      <c r="C30" s="1">
        <f t="shared" si="10"/>
        <v>0.88</v>
      </c>
      <c r="D30" s="1">
        <f t="shared" si="0"/>
        <v>34.5</v>
      </c>
      <c r="E30" s="1">
        <v>20</v>
      </c>
      <c r="F30" s="1">
        <f t="shared" si="9"/>
        <v>44</v>
      </c>
      <c r="G30" s="1">
        <f t="shared" si="2"/>
        <v>25.826446280991735</v>
      </c>
      <c r="H30" s="1" t="str">
        <f t="shared" si="1"/>
        <v>7.50361939884357 Less</v>
      </c>
      <c r="I30" s="4">
        <f t="shared" si="3"/>
        <v>21</v>
      </c>
      <c r="J30" s="4">
        <f t="shared" ca="1" si="4"/>
        <v>2920</v>
      </c>
      <c r="K30" s="5">
        <f ca="1">IFERROR(TODAY()-$J30, "NA")</f>
        <v>43117</v>
      </c>
      <c r="L30" s="1" t="s">
        <v>36</v>
      </c>
      <c r="M30" s="1" t="s">
        <v>36</v>
      </c>
      <c r="N30" s="1" t="s">
        <v>36</v>
      </c>
      <c r="O30" s="1">
        <v>8</v>
      </c>
      <c r="P30" s="4" t="b">
        <f t="shared" si="5"/>
        <v>1</v>
      </c>
      <c r="Q30" s="1" t="s">
        <v>114</v>
      </c>
      <c r="R30" s="1" t="s">
        <v>115</v>
      </c>
      <c r="S30" s="1" t="s">
        <v>111</v>
      </c>
      <c r="T30" t="str">
        <f t="shared" ca="1" si="6"/>
        <v>*Not Found*</v>
      </c>
      <c r="U30" s="4" t="str">
        <f t="shared" si="7"/>
        <v>Return of the Jedi</v>
      </c>
    </row>
    <row r="31" spans="1:21" ht="15.75" customHeight="1" x14ac:dyDescent="0.25">
      <c r="A31" s="1" t="s">
        <v>116</v>
      </c>
      <c r="B31" s="1">
        <v>160</v>
      </c>
      <c r="C31" s="1">
        <f t="shared" si="10"/>
        <v>1.6</v>
      </c>
      <c r="D31" s="1">
        <f t="shared" si="0"/>
        <v>62.5</v>
      </c>
      <c r="E31" s="1">
        <v>68</v>
      </c>
      <c r="F31" s="1">
        <f t="shared" si="9"/>
        <v>150</v>
      </c>
      <c r="G31" s="1">
        <f t="shared" si="2"/>
        <v>26.562499999999996</v>
      </c>
      <c r="H31" s="1" t="str">
        <f t="shared" si="1"/>
        <v>6.76756567983531 Less</v>
      </c>
      <c r="I31" s="4">
        <f t="shared" si="3"/>
        <v>16</v>
      </c>
      <c r="J31" s="4" t="str">
        <f t="shared" ca="1" si="4"/>
        <v>NA</v>
      </c>
      <c r="K31" s="5" t="str">
        <f ca="1">IFERROR(TODAY()-$J31, "NA")</f>
        <v>NA</v>
      </c>
      <c r="L31" s="1" t="s">
        <v>32</v>
      </c>
      <c r="M31" s="1" t="s">
        <v>85</v>
      </c>
      <c r="N31" s="1" t="s">
        <v>48</v>
      </c>
      <c r="O31" s="1" t="s">
        <v>21</v>
      </c>
      <c r="P31" s="4" t="b">
        <f t="shared" si="5"/>
        <v>0</v>
      </c>
      <c r="Q31" s="1" t="s">
        <v>117</v>
      </c>
      <c r="R31" s="1" t="s">
        <v>118</v>
      </c>
      <c r="S31" s="1" t="s">
        <v>111</v>
      </c>
      <c r="T31" t="str">
        <f t="shared" ca="1" si="6"/>
        <v>A New Hope</v>
      </c>
      <c r="U31" s="4" t="str">
        <f t="shared" si="7"/>
        <v>Return of the Jedi</v>
      </c>
    </row>
    <row r="32" spans="1:21" ht="15.75" customHeight="1" x14ac:dyDescent="0.25">
      <c r="A32" s="1" t="s">
        <v>119</v>
      </c>
      <c r="B32" s="1">
        <v>193</v>
      </c>
      <c r="C32" s="1">
        <f t="shared" si="10"/>
        <v>1.93</v>
      </c>
      <c r="D32" s="1">
        <f t="shared" si="0"/>
        <v>75.5</v>
      </c>
      <c r="E32" s="1">
        <v>89</v>
      </c>
      <c r="F32" s="1">
        <f t="shared" si="9"/>
        <v>196.25</v>
      </c>
      <c r="G32" s="1">
        <f t="shared" si="2"/>
        <v>23.893258879433006</v>
      </c>
      <c r="H32" s="1" t="str">
        <f t="shared" si="1"/>
        <v>9.4368068004023 Less</v>
      </c>
      <c r="I32" s="4">
        <f t="shared" si="3"/>
        <v>33</v>
      </c>
      <c r="J32" s="4">
        <f t="shared" ca="1" si="4"/>
        <v>33580</v>
      </c>
      <c r="K32" s="5">
        <f ca="1">IFERROR(TODAY()-$J32, "NA")</f>
        <v>12457</v>
      </c>
      <c r="L32" s="1" t="s">
        <v>36</v>
      </c>
      <c r="M32" s="1" t="s">
        <v>15</v>
      </c>
      <c r="N32" s="1" t="s">
        <v>16</v>
      </c>
      <c r="O32" s="1">
        <v>92</v>
      </c>
      <c r="P32" s="4" t="b">
        <f t="shared" si="5"/>
        <v>1</v>
      </c>
      <c r="Q32" s="1" t="s">
        <v>21</v>
      </c>
      <c r="R32" s="1" t="s">
        <v>18</v>
      </c>
      <c r="S32" s="1" t="s">
        <v>120</v>
      </c>
      <c r="T32" t="str">
        <f t="shared" ca="1" si="6"/>
        <v>A New Hope</v>
      </c>
      <c r="U32" s="4" t="str">
        <f t="shared" si="7"/>
        <v>The Phantom Menace</v>
      </c>
    </row>
    <row r="33" spans="1:21" ht="15.75" customHeight="1" x14ac:dyDescent="0.25">
      <c r="A33" s="1" t="s">
        <v>121</v>
      </c>
      <c r="B33" s="1">
        <v>191</v>
      </c>
      <c r="C33" s="1">
        <f t="shared" si="10"/>
        <v>1.91</v>
      </c>
      <c r="D33" s="1">
        <f t="shared" si="0"/>
        <v>75</v>
      </c>
      <c r="E33" s="1">
        <v>90</v>
      </c>
      <c r="F33" s="1">
        <f t="shared" si="9"/>
        <v>198.5</v>
      </c>
      <c r="G33" s="1">
        <f t="shared" si="2"/>
        <v>24.670376360297141</v>
      </c>
      <c r="H33" s="1" t="str">
        <f t="shared" si="1"/>
        <v>8.65968931953817 Less</v>
      </c>
      <c r="I33" s="4">
        <f t="shared" si="3"/>
        <v>30</v>
      </c>
      <c r="J33" s="4" t="str">
        <f t="shared" ca="1" si="4"/>
        <v>NA</v>
      </c>
      <c r="K33" s="5" t="str">
        <f ca="1">IFERROR(TODAY()-$J33, "NA")</f>
        <v>NA</v>
      </c>
      <c r="L33" s="1" t="s">
        <v>32</v>
      </c>
      <c r="M33" s="1" t="s">
        <v>122</v>
      </c>
      <c r="N33" s="1" t="s">
        <v>28</v>
      </c>
      <c r="O33" s="1" t="s">
        <v>21</v>
      </c>
      <c r="P33" s="4" t="b">
        <f t="shared" si="5"/>
        <v>0</v>
      </c>
      <c r="Q33" s="1" t="s">
        <v>123</v>
      </c>
      <c r="R33" s="1" t="s">
        <v>124</v>
      </c>
      <c r="S33" s="1" t="s">
        <v>54</v>
      </c>
      <c r="T33" t="str">
        <f t="shared" ca="1" si="6"/>
        <v>A New Hope</v>
      </c>
      <c r="U33" s="4" t="str">
        <f t="shared" si="7"/>
        <v>Attack of the Clones</v>
      </c>
    </row>
    <row r="34" spans="1:21" ht="15.75" customHeight="1" x14ac:dyDescent="0.25">
      <c r="A34" s="1" t="s">
        <v>125</v>
      </c>
      <c r="B34" s="1">
        <v>170</v>
      </c>
      <c r="C34" s="1">
        <f t="shared" si="10"/>
        <v>1.7</v>
      </c>
      <c r="D34" s="1">
        <f t="shared" si="0"/>
        <v>66.5</v>
      </c>
      <c r="E34" s="1" t="s">
        <v>21</v>
      </c>
      <c r="F34" s="1" t="str">
        <f t="shared" si="9"/>
        <v>NA</v>
      </c>
      <c r="G34" s="1">
        <f t="shared" si="2"/>
        <v>0</v>
      </c>
      <c r="H34" s="1" t="str">
        <f t="shared" si="1"/>
        <v>33.3300656798353 Less</v>
      </c>
      <c r="I34" s="4">
        <f t="shared" si="3"/>
        <v>60</v>
      </c>
      <c r="J34" s="4">
        <f t="shared" ca="1" si="4"/>
        <v>33215</v>
      </c>
      <c r="K34" s="5">
        <f ca="1">IFERROR(TODAY()-$J34, "NA")</f>
        <v>12822</v>
      </c>
      <c r="L34" s="1" t="s">
        <v>14</v>
      </c>
      <c r="M34" s="1" t="s">
        <v>15</v>
      </c>
      <c r="N34" s="1" t="s">
        <v>16</v>
      </c>
      <c r="O34" s="1">
        <v>91</v>
      </c>
      <c r="P34" s="4" t="b">
        <f t="shared" si="5"/>
        <v>1</v>
      </c>
      <c r="Q34" s="1" t="s">
        <v>126</v>
      </c>
      <c r="R34" s="1" t="s">
        <v>18</v>
      </c>
      <c r="S34" s="1" t="s">
        <v>120</v>
      </c>
      <c r="T34" t="str">
        <f t="shared" ca="1" si="6"/>
        <v>A New Hope</v>
      </c>
      <c r="U34" s="4" t="str">
        <f t="shared" si="7"/>
        <v>The Phantom Menace</v>
      </c>
    </row>
    <row r="35" spans="1:21" ht="15.75" customHeight="1" x14ac:dyDescent="0.25">
      <c r="A35" s="1" t="s">
        <v>127</v>
      </c>
      <c r="B35" s="1">
        <v>196</v>
      </c>
      <c r="C35" s="1">
        <f t="shared" si="10"/>
        <v>1.96</v>
      </c>
      <c r="D35" s="1">
        <f t="shared" si="0"/>
        <v>77</v>
      </c>
      <c r="E35" s="1">
        <v>66</v>
      </c>
      <c r="F35" s="1">
        <f t="shared" si="9"/>
        <v>145.5</v>
      </c>
      <c r="G35" s="1">
        <f t="shared" si="2"/>
        <v>17.180341524364849</v>
      </c>
      <c r="H35" s="1" t="str">
        <f t="shared" si="1"/>
        <v>16.1497241554705 Less</v>
      </c>
      <c r="I35" s="4">
        <f t="shared" si="3"/>
        <v>53</v>
      </c>
      <c r="J35" s="4">
        <f t="shared" ca="1" si="4"/>
        <v>18980</v>
      </c>
      <c r="K35" s="5">
        <f ca="1">IFERROR(TODAY()-$J35, "NA")</f>
        <v>27057</v>
      </c>
      <c r="L35" s="1" t="s">
        <v>32</v>
      </c>
      <c r="M35" s="1" t="s">
        <v>72</v>
      </c>
      <c r="N35" s="1" t="s">
        <v>72</v>
      </c>
      <c r="O35" s="1">
        <v>52</v>
      </c>
      <c r="P35" s="4" t="b">
        <f t="shared" si="5"/>
        <v>1</v>
      </c>
      <c r="Q35" s="1" t="s">
        <v>29</v>
      </c>
      <c r="R35" s="1" t="s">
        <v>128</v>
      </c>
      <c r="S35" s="1" t="s">
        <v>129</v>
      </c>
      <c r="T35" t="str">
        <f t="shared" ca="1" si="6"/>
        <v>A New Hope</v>
      </c>
      <c r="U35" s="4" t="str">
        <f t="shared" si="7"/>
        <v>Attack of the Clones</v>
      </c>
    </row>
    <row r="36" spans="1:21" ht="15.75" customHeight="1" x14ac:dyDescent="0.25">
      <c r="A36" s="1" t="s">
        <v>130</v>
      </c>
      <c r="B36" s="1">
        <v>224</v>
      </c>
      <c r="C36" s="1">
        <f t="shared" si="10"/>
        <v>2.2400000000000002</v>
      </c>
      <c r="D36" s="1">
        <f t="shared" si="0"/>
        <v>88</v>
      </c>
      <c r="E36" s="1">
        <v>82</v>
      </c>
      <c r="F36" s="1">
        <f t="shared" si="9"/>
        <v>180.75</v>
      </c>
      <c r="G36" s="1">
        <f t="shared" si="2"/>
        <v>16.342474489795915</v>
      </c>
      <c r="H36" s="1" t="str">
        <f t="shared" si="1"/>
        <v>16.9875911900394 Less</v>
      </c>
      <c r="I36" s="4">
        <f t="shared" si="3"/>
        <v>56</v>
      </c>
      <c r="J36" s="4" t="str">
        <f t="shared" ca="1" si="4"/>
        <v>NA</v>
      </c>
      <c r="K36" s="5" t="str">
        <f ca="1">IFERROR(TODAY()-$J36, "NA")</f>
        <v>NA</v>
      </c>
      <c r="L36" s="1" t="s">
        <v>32</v>
      </c>
      <c r="M36" s="1" t="s">
        <v>85</v>
      </c>
      <c r="N36" s="1" t="s">
        <v>72</v>
      </c>
      <c r="O36" s="1" t="s">
        <v>21</v>
      </c>
      <c r="P36" s="4" t="b">
        <f t="shared" si="5"/>
        <v>0</v>
      </c>
      <c r="Q36" s="1" t="s">
        <v>29</v>
      </c>
      <c r="R36" s="1" t="s">
        <v>128</v>
      </c>
      <c r="S36" s="1" t="s">
        <v>120</v>
      </c>
      <c r="T36" t="str">
        <f t="shared" ca="1" si="6"/>
        <v>A New Hope</v>
      </c>
      <c r="U36" s="4" t="str">
        <f t="shared" si="7"/>
        <v>The Phantom Menace</v>
      </c>
    </row>
    <row r="37" spans="1:21" ht="15.75" customHeight="1" x14ac:dyDescent="0.25">
      <c r="A37" s="1" t="s">
        <v>131</v>
      </c>
      <c r="B37" s="1">
        <v>206</v>
      </c>
      <c r="C37" s="1">
        <f t="shared" si="10"/>
        <v>2.06</v>
      </c>
      <c r="D37" s="1">
        <f t="shared" si="0"/>
        <v>81</v>
      </c>
      <c r="E37" s="1" t="s">
        <v>21</v>
      </c>
      <c r="F37" s="1" t="str">
        <f t="shared" si="9"/>
        <v>NA</v>
      </c>
      <c r="G37" s="1">
        <f t="shared" si="2"/>
        <v>0</v>
      </c>
      <c r="H37" s="1" t="str">
        <f t="shared" si="1"/>
        <v>33.3300656798353 Less</v>
      </c>
      <c r="I37" s="4">
        <f t="shared" si="3"/>
        <v>60</v>
      </c>
      <c r="J37" s="4" t="str">
        <f t="shared" ca="1" si="4"/>
        <v>NA</v>
      </c>
      <c r="K37" s="5" t="str">
        <f ca="1">IFERROR(TODAY()-$J37, "NA")</f>
        <v>NA</v>
      </c>
      <c r="L37" s="1" t="s">
        <v>32</v>
      </c>
      <c r="M37" s="1" t="s">
        <v>67</v>
      </c>
      <c r="N37" s="1" t="s">
        <v>72</v>
      </c>
      <c r="O37" s="1" t="s">
        <v>21</v>
      </c>
      <c r="P37" s="4" t="b">
        <f t="shared" si="5"/>
        <v>0</v>
      </c>
      <c r="Q37" s="1" t="s">
        <v>29</v>
      </c>
      <c r="R37" s="1" t="s">
        <v>128</v>
      </c>
      <c r="S37" s="1" t="s">
        <v>120</v>
      </c>
      <c r="T37" t="str">
        <f t="shared" ca="1" si="6"/>
        <v>A New Hope</v>
      </c>
      <c r="U37" s="4" t="str">
        <f t="shared" si="7"/>
        <v>The Phantom Menace</v>
      </c>
    </row>
    <row r="38" spans="1:21" ht="15.75" customHeight="1" x14ac:dyDescent="0.25">
      <c r="A38" s="1" t="s">
        <v>132</v>
      </c>
      <c r="B38" s="1">
        <v>183</v>
      </c>
      <c r="C38" s="1">
        <f t="shared" si="10"/>
        <v>1.83</v>
      </c>
      <c r="D38" s="1">
        <f t="shared" si="0"/>
        <v>72</v>
      </c>
      <c r="E38" s="1" t="s">
        <v>21</v>
      </c>
      <c r="F38" s="1" t="str">
        <f t="shared" si="9"/>
        <v>NA</v>
      </c>
      <c r="G38" s="1">
        <f t="shared" si="2"/>
        <v>0</v>
      </c>
      <c r="H38" s="1" t="str">
        <f t="shared" si="1"/>
        <v>33.3300656798353 Less</v>
      </c>
      <c r="I38" s="4">
        <f t="shared" si="3"/>
        <v>60</v>
      </c>
      <c r="J38" s="4" t="str">
        <f t="shared" ca="1" si="4"/>
        <v>NA</v>
      </c>
      <c r="K38" s="5" t="str">
        <f ca="1">IFERROR(TODAY()-$J38, "NA")</f>
        <v>NA</v>
      </c>
      <c r="L38" s="1" t="s">
        <v>36</v>
      </c>
      <c r="M38" s="1" t="s">
        <v>15</v>
      </c>
      <c r="N38" s="1" t="s">
        <v>16</v>
      </c>
      <c r="O38" s="1" t="s">
        <v>21</v>
      </c>
      <c r="P38" s="4" t="b">
        <f t="shared" si="5"/>
        <v>0</v>
      </c>
      <c r="Q38" s="1" t="s">
        <v>29</v>
      </c>
      <c r="R38" s="1" t="s">
        <v>21</v>
      </c>
      <c r="S38" s="1" t="s">
        <v>120</v>
      </c>
      <c r="T38" t="str">
        <f t="shared" ca="1" si="6"/>
        <v>A New Hope</v>
      </c>
      <c r="U38" s="4" t="str">
        <f t="shared" si="7"/>
        <v>The Phantom Menace</v>
      </c>
    </row>
    <row r="39" spans="1:21" ht="15.75" customHeight="1" x14ac:dyDescent="0.25">
      <c r="A39" s="1" t="s">
        <v>133</v>
      </c>
      <c r="B39" s="1">
        <v>137</v>
      </c>
      <c r="C39" s="1">
        <f t="shared" si="10"/>
        <v>1.37</v>
      </c>
      <c r="D39" s="1">
        <f t="shared" si="0"/>
        <v>53.5</v>
      </c>
      <c r="E39" s="1" t="s">
        <v>21</v>
      </c>
      <c r="F39" s="1" t="str">
        <f t="shared" si="9"/>
        <v>NA</v>
      </c>
      <c r="G39" s="1">
        <f t="shared" si="2"/>
        <v>0</v>
      </c>
      <c r="H39" s="1" t="str">
        <f t="shared" si="1"/>
        <v>33.3300656798353 Less</v>
      </c>
      <c r="I39" s="4">
        <f t="shared" si="3"/>
        <v>60</v>
      </c>
      <c r="J39" s="4" t="str">
        <f t="shared" ca="1" si="4"/>
        <v>NA</v>
      </c>
      <c r="K39" s="5" t="str">
        <f ca="1">IFERROR(TODAY()-$J39, "NA")</f>
        <v>NA</v>
      </c>
      <c r="L39" s="1" t="s">
        <v>48</v>
      </c>
      <c r="M39" s="1" t="s">
        <v>134</v>
      </c>
      <c r="N39" s="1" t="s">
        <v>23</v>
      </c>
      <c r="O39" s="1" t="s">
        <v>21</v>
      </c>
      <c r="P39" s="4" t="b">
        <f t="shared" si="5"/>
        <v>0</v>
      </c>
      <c r="Q39" s="1" t="s">
        <v>135</v>
      </c>
      <c r="R39" s="1" t="s">
        <v>136</v>
      </c>
      <c r="S39" s="1" t="s">
        <v>137</v>
      </c>
      <c r="T39" t="str">
        <f t="shared" ca="1" si="6"/>
        <v>A New Hope</v>
      </c>
      <c r="U39" s="4" t="str">
        <f t="shared" si="7"/>
        <v>Attack of the Clones</v>
      </c>
    </row>
    <row r="40" spans="1:21" ht="15.75" customHeight="1" x14ac:dyDescent="0.25">
      <c r="A40" s="1" t="s">
        <v>138</v>
      </c>
      <c r="B40" s="1">
        <v>112</v>
      </c>
      <c r="C40" s="1">
        <f t="shared" si="10"/>
        <v>1.1200000000000001</v>
      </c>
      <c r="D40" s="1">
        <f t="shared" si="0"/>
        <v>44</v>
      </c>
      <c r="E40" s="1">
        <v>40</v>
      </c>
      <c r="F40" s="1">
        <f t="shared" si="9"/>
        <v>88.25</v>
      </c>
      <c r="G40" s="1">
        <f t="shared" si="2"/>
        <v>31.887755102040813</v>
      </c>
      <c r="H40" s="1" t="str">
        <f t="shared" si="1"/>
        <v>1.44231057779449 Less</v>
      </c>
      <c r="I40" s="4">
        <f t="shared" si="3"/>
        <v>11</v>
      </c>
      <c r="J40" s="4" t="str">
        <f t="shared" ca="1" si="4"/>
        <v>NA</v>
      </c>
      <c r="K40" s="5" t="str">
        <f ca="1">IFERROR(TODAY()-$J40, "NA")</f>
        <v>NA</v>
      </c>
      <c r="L40" s="1" t="s">
        <v>32</v>
      </c>
      <c r="M40" s="1" t="s">
        <v>139</v>
      </c>
      <c r="N40" s="1" t="s">
        <v>72</v>
      </c>
      <c r="O40" s="1" t="s">
        <v>21</v>
      </c>
      <c r="P40" s="4" t="b">
        <f t="shared" si="5"/>
        <v>0</v>
      </c>
      <c r="Q40" s="1" t="s">
        <v>140</v>
      </c>
      <c r="R40" s="1" t="s">
        <v>141</v>
      </c>
      <c r="S40" s="1" t="s">
        <v>120</v>
      </c>
      <c r="T40" t="str">
        <f t="shared" ca="1" si="6"/>
        <v>A New Hope</v>
      </c>
      <c r="U40" s="4" t="str">
        <f t="shared" si="7"/>
        <v>The Phantom Menace</v>
      </c>
    </row>
    <row r="41" spans="1:21" ht="15.75" customHeight="1" x14ac:dyDescent="0.25">
      <c r="A41" s="1" t="s">
        <v>142</v>
      </c>
      <c r="B41" s="1">
        <v>183</v>
      </c>
      <c r="C41" s="1">
        <f t="shared" si="10"/>
        <v>1.83</v>
      </c>
      <c r="D41" s="1">
        <f t="shared" si="0"/>
        <v>72</v>
      </c>
      <c r="E41" s="1" t="s">
        <v>21</v>
      </c>
      <c r="F41" s="1" t="str">
        <f t="shared" si="9"/>
        <v>NA</v>
      </c>
      <c r="G41" s="1">
        <f t="shared" si="2"/>
        <v>0</v>
      </c>
      <c r="H41" s="1" t="str">
        <f t="shared" si="1"/>
        <v>33.3300656798353 Less</v>
      </c>
      <c r="I41" s="4">
        <f t="shared" si="3"/>
        <v>60</v>
      </c>
      <c r="J41" s="4">
        <f t="shared" ca="1" si="4"/>
        <v>22630</v>
      </c>
      <c r="K41" s="5">
        <f ca="1">IFERROR(TODAY()-$J41, "NA")</f>
        <v>23407</v>
      </c>
      <c r="L41" s="1" t="s">
        <v>48</v>
      </c>
      <c r="M41" s="1" t="s">
        <v>98</v>
      </c>
      <c r="N41" s="1" t="s">
        <v>36</v>
      </c>
      <c r="O41" s="1">
        <v>62</v>
      </c>
      <c r="P41" s="4" t="b">
        <f t="shared" si="5"/>
        <v>1</v>
      </c>
      <c r="Q41" s="1" t="s">
        <v>29</v>
      </c>
      <c r="R41" s="1" t="s">
        <v>21</v>
      </c>
      <c r="S41" s="1" t="s">
        <v>120</v>
      </c>
      <c r="T41" t="str">
        <f t="shared" ca="1" si="6"/>
        <v>A New Hope</v>
      </c>
      <c r="U41" s="4" t="str">
        <f t="shared" si="7"/>
        <v>The Phantom Menace</v>
      </c>
    </row>
    <row r="42" spans="1:21" ht="15.75" customHeight="1" x14ac:dyDescent="0.25">
      <c r="A42" s="1" t="s">
        <v>143</v>
      </c>
      <c r="B42" s="1">
        <v>163</v>
      </c>
      <c r="C42" s="1">
        <f t="shared" si="10"/>
        <v>1.63</v>
      </c>
      <c r="D42" s="1">
        <f t="shared" si="0"/>
        <v>64</v>
      </c>
      <c r="E42" s="1" t="s">
        <v>21</v>
      </c>
      <c r="F42" s="1" t="str">
        <f t="shared" si="9"/>
        <v>NA</v>
      </c>
      <c r="G42" s="1">
        <f t="shared" si="2"/>
        <v>0</v>
      </c>
      <c r="H42" s="1" t="str">
        <f t="shared" si="1"/>
        <v>33.3300656798353 Less</v>
      </c>
      <c r="I42" s="4">
        <f t="shared" si="3"/>
        <v>60</v>
      </c>
      <c r="J42" s="4">
        <f t="shared" ca="1" si="4"/>
        <v>26280</v>
      </c>
      <c r="K42" s="5">
        <f ca="1">IFERROR(TODAY()-$J42, "NA")</f>
        <v>19757</v>
      </c>
      <c r="L42" s="1" t="s">
        <v>48</v>
      </c>
      <c r="M42" s="1" t="s">
        <v>15</v>
      </c>
      <c r="N42" s="1" t="s">
        <v>36</v>
      </c>
      <c r="O42" s="1">
        <v>72</v>
      </c>
      <c r="P42" s="4" t="b">
        <f t="shared" si="5"/>
        <v>1</v>
      </c>
      <c r="Q42" s="1" t="s">
        <v>17</v>
      </c>
      <c r="R42" s="1" t="s">
        <v>18</v>
      </c>
      <c r="S42" s="1" t="s">
        <v>137</v>
      </c>
      <c r="T42" t="str">
        <f t="shared" ca="1" si="6"/>
        <v>A New Hope</v>
      </c>
      <c r="U42" s="4" t="str">
        <f t="shared" si="7"/>
        <v>Attack of the Clones</v>
      </c>
    </row>
    <row r="43" spans="1:21" ht="15.75" customHeight="1" x14ac:dyDescent="0.25">
      <c r="A43" s="1" t="s">
        <v>144</v>
      </c>
      <c r="B43" s="1">
        <v>175</v>
      </c>
      <c r="C43" s="1">
        <f t="shared" si="10"/>
        <v>1.75</v>
      </c>
      <c r="D43" s="1">
        <f t="shared" si="0"/>
        <v>68.5</v>
      </c>
      <c r="E43" s="1">
        <v>80</v>
      </c>
      <c r="F43" s="1">
        <f t="shared" si="9"/>
        <v>176.25</v>
      </c>
      <c r="G43" s="1">
        <f t="shared" si="2"/>
        <v>26.122448979591837</v>
      </c>
      <c r="H43" s="1" t="str">
        <f t="shared" si="1"/>
        <v>7.20761670024347 Less</v>
      </c>
      <c r="I43" s="4">
        <f t="shared" si="3"/>
        <v>17</v>
      </c>
      <c r="J43" s="4">
        <f t="shared" ca="1" si="4"/>
        <v>19710</v>
      </c>
      <c r="K43" s="5">
        <f ca="1">IFERROR(TODAY()-$J43, "NA")</f>
        <v>26327</v>
      </c>
      <c r="L43" s="1" t="s">
        <v>32</v>
      </c>
      <c r="M43" s="1" t="s">
        <v>28</v>
      </c>
      <c r="N43" s="1" t="s">
        <v>23</v>
      </c>
      <c r="O43" s="1">
        <v>54</v>
      </c>
      <c r="P43" s="4" t="b">
        <f t="shared" si="5"/>
        <v>1</v>
      </c>
      <c r="Q43" s="1" t="s">
        <v>145</v>
      </c>
      <c r="R43" s="1" t="s">
        <v>146</v>
      </c>
      <c r="S43" s="1" t="s">
        <v>120</v>
      </c>
      <c r="T43" t="str">
        <f t="shared" ca="1" si="6"/>
        <v>A New Hope</v>
      </c>
      <c r="U43" s="4" t="str">
        <f t="shared" si="7"/>
        <v>The Phantom Menace</v>
      </c>
    </row>
    <row r="44" spans="1:21" ht="15.75" customHeight="1" x14ac:dyDescent="0.25">
      <c r="A44" s="1" t="s">
        <v>147</v>
      </c>
      <c r="B44" s="1">
        <v>180</v>
      </c>
      <c r="C44" s="1">
        <f t="shared" si="10"/>
        <v>1.8</v>
      </c>
      <c r="D44" s="1">
        <f t="shared" si="0"/>
        <v>70.5</v>
      </c>
      <c r="E44" s="1" t="s">
        <v>21</v>
      </c>
      <c r="F44" s="1" t="str">
        <f t="shared" si="9"/>
        <v>NA</v>
      </c>
      <c r="G44" s="1">
        <f t="shared" si="2"/>
        <v>0</v>
      </c>
      <c r="H44" s="1" t="str">
        <f t="shared" si="1"/>
        <v>33.3300656798353 Less</v>
      </c>
      <c r="I44" s="4">
        <f t="shared" si="3"/>
        <v>60</v>
      </c>
      <c r="J44" s="4" t="str">
        <f t="shared" ca="1" si="4"/>
        <v>NA</v>
      </c>
      <c r="K44" s="5" t="str">
        <f ca="1">IFERROR(TODAY()-$J44, "NA")</f>
        <v>NA</v>
      </c>
      <c r="L44" s="1" t="s">
        <v>32</v>
      </c>
      <c r="M44" s="1" t="s">
        <v>86</v>
      </c>
      <c r="N44" s="1" t="s">
        <v>148</v>
      </c>
      <c r="O44" s="1" t="s">
        <v>21</v>
      </c>
      <c r="P44" s="4" t="b">
        <f t="shared" si="5"/>
        <v>0</v>
      </c>
      <c r="Q44" s="1" t="s">
        <v>149</v>
      </c>
      <c r="R44" s="1" t="s">
        <v>150</v>
      </c>
      <c r="S44" s="1" t="s">
        <v>111</v>
      </c>
      <c r="T44" t="str">
        <f t="shared" ca="1" si="6"/>
        <v>A New Hope</v>
      </c>
      <c r="U44" s="4" t="str">
        <f t="shared" si="7"/>
        <v>Return of the Jedi</v>
      </c>
    </row>
    <row r="45" spans="1:21" ht="15.75" customHeight="1" x14ac:dyDescent="0.25">
      <c r="A45" s="1" t="s">
        <v>151</v>
      </c>
      <c r="B45" s="1">
        <v>178</v>
      </c>
      <c r="C45" s="1">
        <f t="shared" si="10"/>
        <v>1.78</v>
      </c>
      <c r="D45" s="1">
        <f t="shared" si="0"/>
        <v>70</v>
      </c>
      <c r="E45" s="1">
        <v>55</v>
      </c>
      <c r="F45" s="1">
        <f t="shared" si="9"/>
        <v>121.25</v>
      </c>
      <c r="G45" s="1">
        <f t="shared" si="2"/>
        <v>17.35891932836763</v>
      </c>
      <c r="H45" s="1" t="str">
        <f t="shared" si="1"/>
        <v>15.9711463514677 Less</v>
      </c>
      <c r="I45" s="4">
        <f t="shared" si="3"/>
        <v>52</v>
      </c>
      <c r="J45" s="4">
        <f t="shared" ca="1" si="4"/>
        <v>17520</v>
      </c>
      <c r="K45" s="5">
        <f ca="1">IFERROR(TODAY()-$J45, "NA")</f>
        <v>28517</v>
      </c>
      <c r="L45" s="1" t="s">
        <v>32</v>
      </c>
      <c r="M45" s="1" t="s">
        <v>16</v>
      </c>
      <c r="N45" s="1" t="s">
        <v>77</v>
      </c>
      <c r="O45" s="1">
        <v>48</v>
      </c>
      <c r="P45" s="4" t="b">
        <f t="shared" si="5"/>
        <v>1</v>
      </c>
      <c r="Q45" s="1" t="s">
        <v>149</v>
      </c>
      <c r="R45" s="1" t="s">
        <v>150</v>
      </c>
      <c r="S45" s="1" t="s">
        <v>152</v>
      </c>
      <c r="T45" t="str">
        <f t="shared" ca="1" si="6"/>
        <v>The Empire Strikes Back</v>
      </c>
      <c r="U45" s="4" t="str">
        <f t="shared" si="7"/>
        <v>Attack of the Clones</v>
      </c>
    </row>
    <row r="46" spans="1:21" ht="15.75" customHeight="1" x14ac:dyDescent="0.25">
      <c r="A46" s="1" t="s">
        <v>153</v>
      </c>
      <c r="B46" s="1">
        <v>94</v>
      </c>
      <c r="C46" s="1">
        <f t="shared" si="10"/>
        <v>0.94</v>
      </c>
      <c r="D46" s="1">
        <f t="shared" si="0"/>
        <v>37</v>
      </c>
      <c r="E46" s="1">
        <v>45</v>
      </c>
      <c r="F46" s="1">
        <f t="shared" si="9"/>
        <v>99.25</v>
      </c>
      <c r="G46" s="1">
        <f t="shared" si="2"/>
        <v>50.928021729289277</v>
      </c>
      <c r="H46" s="1" t="str">
        <f t="shared" si="1"/>
        <v>17.597956049454 More</v>
      </c>
      <c r="I46" s="4">
        <f t="shared" si="3"/>
        <v>2</v>
      </c>
      <c r="J46" s="4" t="str">
        <f t="shared" ca="1" si="4"/>
        <v>NA</v>
      </c>
      <c r="K46" s="5" t="str">
        <f ca="1">IFERROR(TODAY()-$J46, "NA")</f>
        <v>NA</v>
      </c>
      <c r="L46" s="1" t="s">
        <v>32</v>
      </c>
      <c r="M46" s="1" t="s">
        <v>134</v>
      </c>
      <c r="N46" s="1" t="s">
        <v>23</v>
      </c>
      <c r="O46" s="1" t="s">
        <v>21</v>
      </c>
      <c r="P46" s="4" t="b">
        <f t="shared" si="5"/>
        <v>0</v>
      </c>
      <c r="Q46" s="1" t="s">
        <v>154</v>
      </c>
      <c r="R46" s="1" t="s">
        <v>155</v>
      </c>
      <c r="S46" s="1" t="s">
        <v>120</v>
      </c>
      <c r="T46" t="str">
        <f t="shared" ca="1" si="6"/>
        <v>A New Hope</v>
      </c>
      <c r="U46" s="4" t="str">
        <f t="shared" si="7"/>
        <v>The Phantom Menace</v>
      </c>
    </row>
    <row r="47" spans="1:21" ht="15.75" customHeight="1" x14ac:dyDescent="0.25">
      <c r="A47" s="1" t="s">
        <v>156</v>
      </c>
      <c r="B47" s="1">
        <v>122</v>
      </c>
      <c r="C47" s="1">
        <f t="shared" si="10"/>
        <v>1.22</v>
      </c>
      <c r="D47" s="1">
        <f t="shared" si="0"/>
        <v>48</v>
      </c>
      <c r="E47" s="1" t="s">
        <v>21</v>
      </c>
      <c r="F47" s="1" t="str">
        <f t="shared" si="9"/>
        <v>NA</v>
      </c>
      <c r="G47" s="1">
        <f t="shared" si="2"/>
        <v>0</v>
      </c>
      <c r="H47" s="1" t="str">
        <f t="shared" si="1"/>
        <v>33.3300656798353 Less</v>
      </c>
      <c r="I47" s="4">
        <f t="shared" si="3"/>
        <v>60</v>
      </c>
      <c r="J47" s="4" t="str">
        <f t="shared" ca="1" si="4"/>
        <v>NA</v>
      </c>
      <c r="K47" s="5" t="str">
        <f ca="1">IFERROR(TODAY()-$J47, "NA")</f>
        <v>NA</v>
      </c>
      <c r="L47" s="1" t="s">
        <v>32</v>
      </c>
      <c r="M47" s="1" t="s">
        <v>27</v>
      </c>
      <c r="N47" s="1" t="s">
        <v>48</v>
      </c>
      <c r="O47" s="1" t="s">
        <v>21</v>
      </c>
      <c r="P47" s="4" t="b">
        <f t="shared" si="5"/>
        <v>0</v>
      </c>
      <c r="Q47" s="1" t="s">
        <v>157</v>
      </c>
      <c r="R47" s="1" t="s">
        <v>158</v>
      </c>
      <c r="S47" s="1" t="s">
        <v>120</v>
      </c>
      <c r="T47" t="str">
        <f t="shared" ca="1" si="6"/>
        <v>A New Hope</v>
      </c>
      <c r="U47" s="4" t="str">
        <f t="shared" si="7"/>
        <v>The Phantom Menace</v>
      </c>
    </row>
    <row r="48" spans="1:21" ht="15.75" customHeight="1" x14ac:dyDescent="0.25">
      <c r="A48" s="1" t="s">
        <v>159</v>
      </c>
      <c r="B48" s="1">
        <v>163</v>
      </c>
      <c r="C48" s="1">
        <f t="shared" si="10"/>
        <v>1.63</v>
      </c>
      <c r="D48" s="1">
        <f t="shared" si="0"/>
        <v>64</v>
      </c>
      <c r="E48" s="1">
        <v>65</v>
      </c>
      <c r="F48" s="1">
        <f t="shared" si="9"/>
        <v>143.25</v>
      </c>
      <c r="G48" s="1">
        <f t="shared" si="2"/>
        <v>24.464601603372351</v>
      </c>
      <c r="H48" s="1" t="str">
        <f t="shared" si="1"/>
        <v>8.86546407646296 Less</v>
      </c>
      <c r="I48" s="4">
        <f t="shared" si="3"/>
        <v>31</v>
      </c>
      <c r="J48" s="4" t="str">
        <f t="shared" ca="1" si="4"/>
        <v>NA</v>
      </c>
      <c r="K48" s="5" t="str">
        <f ca="1">IFERROR(TODAY()-$J48, "NA")</f>
        <v>NA</v>
      </c>
      <c r="L48" s="1" t="s">
        <v>32</v>
      </c>
      <c r="M48" s="1" t="s">
        <v>160</v>
      </c>
      <c r="N48" s="1" t="s">
        <v>72</v>
      </c>
      <c r="O48" s="1" t="s">
        <v>21</v>
      </c>
      <c r="P48" s="4" t="b">
        <f t="shared" si="5"/>
        <v>0</v>
      </c>
      <c r="Q48" s="1" t="s">
        <v>161</v>
      </c>
      <c r="R48" s="1" t="s">
        <v>162</v>
      </c>
      <c r="S48" s="1" t="s">
        <v>120</v>
      </c>
      <c r="T48" t="str">
        <f t="shared" ca="1" si="6"/>
        <v>A New Hope</v>
      </c>
      <c r="U48" s="4" t="str">
        <f t="shared" si="7"/>
        <v>The Phantom Menace</v>
      </c>
    </row>
    <row r="49" spans="1:21" ht="15.75" customHeight="1" x14ac:dyDescent="0.25">
      <c r="A49" s="1" t="s">
        <v>163</v>
      </c>
      <c r="B49" s="1">
        <v>188</v>
      </c>
      <c r="C49" s="1">
        <f t="shared" si="10"/>
        <v>1.88</v>
      </c>
      <c r="D49" s="1">
        <f t="shared" si="0"/>
        <v>74</v>
      </c>
      <c r="E49" s="1">
        <v>84</v>
      </c>
      <c r="F49" s="1">
        <f t="shared" si="9"/>
        <v>185.25</v>
      </c>
      <c r="G49" s="1">
        <f t="shared" si="2"/>
        <v>23.766410140334994</v>
      </c>
      <c r="H49" s="1" t="str">
        <f t="shared" si="1"/>
        <v>9.56365553950031 Less</v>
      </c>
      <c r="I49" s="4">
        <f t="shared" si="3"/>
        <v>35</v>
      </c>
      <c r="J49" s="4">
        <f t="shared" ca="1" si="4"/>
        <v>26280</v>
      </c>
      <c r="K49" s="5">
        <f ca="1">IFERROR(TODAY()-$J49, "NA")</f>
        <v>19757</v>
      </c>
      <c r="L49" s="1" t="s">
        <v>32</v>
      </c>
      <c r="M49" s="1" t="s">
        <v>98</v>
      </c>
      <c r="N49" s="1" t="s">
        <v>36</v>
      </c>
      <c r="O49" s="1">
        <v>72</v>
      </c>
      <c r="P49" s="4" t="b">
        <f t="shared" si="5"/>
        <v>1</v>
      </c>
      <c r="Q49" s="1" t="s">
        <v>164</v>
      </c>
      <c r="R49" s="1" t="s">
        <v>18</v>
      </c>
      <c r="S49" s="1" t="s">
        <v>54</v>
      </c>
      <c r="T49" t="str">
        <f t="shared" ca="1" si="6"/>
        <v>A New Hope</v>
      </c>
      <c r="U49" s="4" t="str">
        <f t="shared" si="7"/>
        <v>Attack of the Clones</v>
      </c>
    </row>
    <row r="50" spans="1:21" ht="15.75" customHeight="1" x14ac:dyDescent="0.25">
      <c r="A50" s="1" t="s">
        <v>165</v>
      </c>
      <c r="B50" s="1">
        <v>198</v>
      </c>
      <c r="C50" s="1">
        <f t="shared" si="10"/>
        <v>1.98</v>
      </c>
      <c r="D50" s="1">
        <f t="shared" si="0"/>
        <v>77.5</v>
      </c>
      <c r="E50" s="1">
        <v>82</v>
      </c>
      <c r="F50" s="1">
        <f t="shared" si="9"/>
        <v>180.75</v>
      </c>
      <c r="G50" s="1">
        <f t="shared" si="2"/>
        <v>20.91623303744516</v>
      </c>
      <c r="H50" s="1" t="str">
        <f t="shared" si="1"/>
        <v>12.4138326423901 Less</v>
      </c>
      <c r="I50" s="4">
        <f t="shared" si="3"/>
        <v>46</v>
      </c>
      <c r="J50" s="4">
        <f t="shared" ca="1" si="4"/>
        <v>33580</v>
      </c>
      <c r="K50" s="5">
        <f ca="1">IFERROR(TODAY()-$J50, "NA")</f>
        <v>12457</v>
      </c>
      <c r="L50" s="1" t="s">
        <v>33</v>
      </c>
      <c r="M50" s="1" t="s">
        <v>86</v>
      </c>
      <c r="N50" s="1" t="s">
        <v>23</v>
      </c>
      <c r="O50" s="1">
        <v>92</v>
      </c>
      <c r="P50" s="4" t="b">
        <f t="shared" si="5"/>
        <v>1</v>
      </c>
      <c r="Q50" s="1" t="s">
        <v>166</v>
      </c>
      <c r="R50" s="1" t="s">
        <v>167</v>
      </c>
      <c r="S50" s="1" t="s">
        <v>54</v>
      </c>
      <c r="T50" t="str">
        <f t="shared" ca="1" si="6"/>
        <v>A New Hope</v>
      </c>
      <c r="U50" s="4" t="str">
        <f t="shared" si="7"/>
        <v>Attack of the Clones</v>
      </c>
    </row>
    <row r="51" spans="1:21" ht="15.75" customHeight="1" x14ac:dyDescent="0.25">
      <c r="A51" s="1" t="s">
        <v>168</v>
      </c>
      <c r="B51" s="1">
        <v>196</v>
      </c>
      <c r="C51" s="1">
        <f t="shared" si="10"/>
        <v>1.96</v>
      </c>
      <c r="D51" s="1">
        <f t="shared" si="0"/>
        <v>77</v>
      </c>
      <c r="E51" s="1">
        <v>87</v>
      </c>
      <c r="F51" s="1">
        <f t="shared" si="9"/>
        <v>191.75</v>
      </c>
      <c r="G51" s="1">
        <f t="shared" si="2"/>
        <v>22.646813827571847</v>
      </c>
      <c r="H51" s="1" t="str">
        <f t="shared" si="1"/>
        <v>10.6832518522635 Less</v>
      </c>
      <c r="I51" s="4">
        <f t="shared" si="3"/>
        <v>40</v>
      </c>
      <c r="J51" s="4" t="str">
        <f t="shared" ca="1" si="4"/>
        <v>NA</v>
      </c>
      <c r="K51" s="5" t="str">
        <f ca="1">IFERROR(TODAY()-$J51, "NA")</f>
        <v>NA</v>
      </c>
      <c r="L51" s="1" t="s">
        <v>32</v>
      </c>
      <c r="M51" s="1" t="s">
        <v>67</v>
      </c>
      <c r="N51" s="1" t="s">
        <v>48</v>
      </c>
      <c r="O51" s="1" t="s">
        <v>21</v>
      </c>
      <c r="P51" s="4" t="b">
        <f t="shared" si="5"/>
        <v>0</v>
      </c>
      <c r="Q51" s="1" t="s">
        <v>169</v>
      </c>
      <c r="R51" s="1" t="s">
        <v>170</v>
      </c>
      <c r="S51" s="1" t="s">
        <v>54</v>
      </c>
      <c r="T51" t="str">
        <f t="shared" ca="1" si="6"/>
        <v>A New Hope</v>
      </c>
      <c r="U51" s="4" t="str">
        <f t="shared" si="7"/>
        <v>Attack of the Clones</v>
      </c>
    </row>
    <row r="52" spans="1:21" ht="15.75" customHeight="1" x14ac:dyDescent="0.25">
      <c r="A52" s="1" t="s">
        <v>171</v>
      </c>
      <c r="B52" s="1">
        <v>171</v>
      </c>
      <c r="C52" s="1">
        <f t="shared" si="10"/>
        <v>1.71</v>
      </c>
      <c r="D52" s="1">
        <f t="shared" si="0"/>
        <v>67</v>
      </c>
      <c r="E52" s="1" t="s">
        <v>21</v>
      </c>
      <c r="F52" s="1" t="str">
        <f t="shared" si="9"/>
        <v>NA</v>
      </c>
      <c r="G52" s="1">
        <f t="shared" si="2"/>
        <v>0</v>
      </c>
      <c r="H52" s="1" t="str">
        <f t="shared" si="1"/>
        <v>33.3300656798353 Less</v>
      </c>
      <c r="I52" s="4">
        <f t="shared" si="3"/>
        <v>60</v>
      </c>
      <c r="J52" s="4" t="str">
        <f t="shared" ca="1" si="4"/>
        <v>NA</v>
      </c>
      <c r="K52" s="5" t="str">
        <f ca="1">IFERROR(TODAY()-$J52, "NA")</f>
        <v>NA</v>
      </c>
      <c r="L52" s="1" t="s">
        <v>48</v>
      </c>
      <c r="M52" s="1" t="s">
        <v>36</v>
      </c>
      <c r="N52" s="1" t="s">
        <v>36</v>
      </c>
      <c r="O52" s="1" t="s">
        <v>21</v>
      </c>
      <c r="P52" s="4" t="b">
        <f t="shared" si="5"/>
        <v>0</v>
      </c>
      <c r="Q52" s="1" t="s">
        <v>172</v>
      </c>
      <c r="R52" s="1" t="s">
        <v>146</v>
      </c>
      <c r="S52" s="1" t="s">
        <v>173</v>
      </c>
      <c r="T52" t="str">
        <f t="shared" ca="1" si="6"/>
        <v>A New Hope</v>
      </c>
      <c r="U52" s="4" t="str">
        <f t="shared" si="7"/>
        <v>The Phantom Menace</v>
      </c>
    </row>
    <row r="53" spans="1:21" ht="15.75" customHeight="1" x14ac:dyDescent="0.25">
      <c r="A53" s="1" t="s">
        <v>174</v>
      </c>
      <c r="B53" s="1">
        <v>184</v>
      </c>
      <c r="C53" s="1">
        <f t="shared" si="10"/>
        <v>1.84</v>
      </c>
      <c r="D53" s="1">
        <f t="shared" si="0"/>
        <v>72</v>
      </c>
      <c r="E53" s="1">
        <v>50</v>
      </c>
      <c r="F53" s="1">
        <f t="shared" si="9"/>
        <v>110.25</v>
      </c>
      <c r="G53" s="1">
        <f t="shared" si="2"/>
        <v>14.768431001890358</v>
      </c>
      <c r="H53" s="1" t="str">
        <f t="shared" si="1"/>
        <v>18.561634677945 Less</v>
      </c>
      <c r="I53" s="4">
        <f t="shared" si="3"/>
        <v>58</v>
      </c>
      <c r="J53" s="4" t="str">
        <f t="shared" ca="1" si="4"/>
        <v>NA</v>
      </c>
      <c r="K53" s="5" t="str">
        <f ca="1">IFERROR(TODAY()-$J53, "NA")</f>
        <v>NA</v>
      </c>
      <c r="L53" s="1" t="s">
        <v>32</v>
      </c>
      <c r="M53" s="1" t="s">
        <v>98</v>
      </c>
      <c r="N53" s="1" t="s">
        <v>16</v>
      </c>
      <c r="O53" s="1" t="s">
        <v>21</v>
      </c>
      <c r="P53" s="4" t="b">
        <f t="shared" si="5"/>
        <v>0</v>
      </c>
      <c r="Q53" s="1" t="s">
        <v>126</v>
      </c>
      <c r="R53" s="1" t="s">
        <v>175</v>
      </c>
      <c r="S53" s="1" t="s">
        <v>173</v>
      </c>
      <c r="T53" t="str">
        <f t="shared" ca="1" si="6"/>
        <v>A New Hope</v>
      </c>
      <c r="U53" s="4" t="str">
        <f t="shared" si="7"/>
        <v>The Phantom Menace</v>
      </c>
    </row>
    <row r="54" spans="1:21" ht="15.75" customHeight="1" x14ac:dyDescent="0.25">
      <c r="A54" s="1" t="s">
        <v>176</v>
      </c>
      <c r="B54" s="1">
        <v>188</v>
      </c>
      <c r="C54" s="1">
        <f t="shared" si="10"/>
        <v>1.88</v>
      </c>
      <c r="D54" s="1">
        <f t="shared" si="0"/>
        <v>74</v>
      </c>
      <c r="E54" s="1" t="s">
        <v>21</v>
      </c>
      <c r="F54" s="1" t="str">
        <f t="shared" si="9"/>
        <v>NA</v>
      </c>
      <c r="G54" s="1">
        <f t="shared" si="2"/>
        <v>0</v>
      </c>
      <c r="H54" s="1" t="str">
        <f t="shared" si="1"/>
        <v>33.3300656798353 Less</v>
      </c>
      <c r="I54" s="4">
        <f t="shared" si="3"/>
        <v>60</v>
      </c>
      <c r="J54" s="4" t="str">
        <f t="shared" ca="1" si="4"/>
        <v>NA</v>
      </c>
      <c r="K54" s="5" t="str">
        <f ca="1">IFERROR(TODAY()-$J54, "NA")</f>
        <v>NA</v>
      </c>
      <c r="L54" s="1" t="s">
        <v>32</v>
      </c>
      <c r="M54" s="1" t="s">
        <v>86</v>
      </c>
      <c r="N54" s="1" t="s">
        <v>72</v>
      </c>
      <c r="O54" s="1" t="s">
        <v>21</v>
      </c>
      <c r="P54" s="4" t="b">
        <f t="shared" si="5"/>
        <v>0</v>
      </c>
      <c r="Q54" s="1" t="s">
        <v>177</v>
      </c>
      <c r="R54" s="1" t="s">
        <v>178</v>
      </c>
      <c r="S54" s="1" t="s">
        <v>173</v>
      </c>
      <c r="T54" t="str">
        <f t="shared" ca="1" si="6"/>
        <v>A New Hope</v>
      </c>
      <c r="U54" s="4" t="str">
        <f t="shared" si="7"/>
        <v>The Phantom Menace</v>
      </c>
    </row>
    <row r="55" spans="1:21" ht="15.75" customHeight="1" x14ac:dyDescent="0.25">
      <c r="A55" s="1" t="s">
        <v>179</v>
      </c>
      <c r="B55" s="1">
        <v>264</v>
      </c>
      <c r="C55" s="1">
        <f t="shared" si="10"/>
        <v>2.64</v>
      </c>
      <c r="D55" s="1">
        <f t="shared" si="0"/>
        <v>103.5</v>
      </c>
      <c r="E55" s="1" t="s">
        <v>21</v>
      </c>
      <c r="F55" s="1" t="str">
        <f t="shared" si="9"/>
        <v>NA</v>
      </c>
      <c r="G55" s="1">
        <f t="shared" si="2"/>
        <v>0</v>
      </c>
      <c r="H55" s="1" t="str">
        <f t="shared" si="1"/>
        <v>33.3300656798353 Less</v>
      </c>
      <c r="I55" s="4">
        <f t="shared" si="3"/>
        <v>60</v>
      </c>
      <c r="J55" s="4" t="str">
        <f t="shared" ca="1" si="4"/>
        <v>NA</v>
      </c>
      <c r="K55" s="5" t="str">
        <f ca="1">IFERROR(TODAY()-$J55, "NA")</f>
        <v>NA</v>
      </c>
      <c r="L55" s="1" t="s">
        <v>32</v>
      </c>
      <c r="M55" s="1" t="s">
        <v>33</v>
      </c>
      <c r="N55" s="1" t="s">
        <v>23</v>
      </c>
      <c r="O55" s="1" t="s">
        <v>21</v>
      </c>
      <c r="P55" s="4" t="b">
        <f t="shared" si="5"/>
        <v>0</v>
      </c>
      <c r="Q55" s="1" t="s">
        <v>180</v>
      </c>
      <c r="R55" s="1" t="s">
        <v>181</v>
      </c>
      <c r="S55" s="1" t="s">
        <v>120</v>
      </c>
      <c r="T55" t="str">
        <f t="shared" ca="1" si="6"/>
        <v>A New Hope</v>
      </c>
      <c r="U55" s="4" t="str">
        <f t="shared" si="7"/>
        <v>The Phantom Menace</v>
      </c>
    </row>
    <row r="56" spans="1:21" ht="15.75" customHeight="1" x14ac:dyDescent="0.25">
      <c r="A56" s="1" t="s">
        <v>182</v>
      </c>
      <c r="B56" s="1">
        <v>188</v>
      </c>
      <c r="C56" s="1">
        <f t="shared" si="10"/>
        <v>1.88</v>
      </c>
      <c r="D56" s="1">
        <f t="shared" si="0"/>
        <v>74</v>
      </c>
      <c r="E56" s="1">
        <v>80</v>
      </c>
      <c r="F56" s="1">
        <f t="shared" si="9"/>
        <v>176.25</v>
      </c>
      <c r="G56" s="1">
        <f t="shared" si="2"/>
        <v>22.634676324128566</v>
      </c>
      <c r="H56" s="1" t="str">
        <f t="shared" si="1"/>
        <v>10.6953893557067 Less</v>
      </c>
      <c r="I56" s="4">
        <f t="shared" si="3"/>
        <v>41</v>
      </c>
      <c r="J56" s="4">
        <f t="shared" ca="1" si="4"/>
        <v>8030</v>
      </c>
      <c r="K56" s="5">
        <f ca="1">IFERROR(TODAY()-$J56, "NA")</f>
        <v>38007</v>
      </c>
      <c r="L56" s="1" t="s">
        <v>32</v>
      </c>
      <c r="M56" s="1" t="s">
        <v>72</v>
      </c>
      <c r="N56" s="1" t="s">
        <v>48</v>
      </c>
      <c r="O56" s="1">
        <v>22</v>
      </c>
      <c r="P56" s="4" t="b">
        <f t="shared" si="5"/>
        <v>1</v>
      </c>
      <c r="Q56" s="1" t="s">
        <v>183</v>
      </c>
      <c r="R56" s="1" t="s">
        <v>184</v>
      </c>
      <c r="S56" s="1" t="s">
        <v>54</v>
      </c>
      <c r="T56" t="str">
        <f t="shared" ca="1" si="6"/>
        <v>Revenge of the Sith</v>
      </c>
      <c r="U56" s="4" t="str">
        <f t="shared" si="7"/>
        <v>Attack of the Clones</v>
      </c>
    </row>
    <row r="57" spans="1:21" ht="15.75" customHeight="1" x14ac:dyDescent="0.25">
      <c r="A57" s="1" t="s">
        <v>185</v>
      </c>
      <c r="B57" s="1">
        <v>196</v>
      </c>
      <c r="C57" s="1">
        <f t="shared" si="10"/>
        <v>1.96</v>
      </c>
      <c r="D57" s="1">
        <f t="shared" si="0"/>
        <v>77</v>
      </c>
      <c r="E57" s="1" t="s">
        <v>21</v>
      </c>
      <c r="F57" s="1" t="str">
        <f t="shared" si="9"/>
        <v>NA</v>
      </c>
      <c r="G57" s="1">
        <f t="shared" si="2"/>
        <v>0</v>
      </c>
      <c r="H57" s="1" t="str">
        <f t="shared" si="1"/>
        <v>33.3300656798353 Less</v>
      </c>
      <c r="I57" s="4">
        <f t="shared" si="3"/>
        <v>60</v>
      </c>
      <c r="J57" s="4" t="str">
        <f t="shared" ca="1" si="4"/>
        <v>NA</v>
      </c>
      <c r="K57" s="5" t="str">
        <f ca="1">IFERROR(TODAY()-$J57, "NA")</f>
        <v>NA</v>
      </c>
      <c r="L57" s="1" t="s">
        <v>32</v>
      </c>
      <c r="M57" s="1" t="s">
        <v>16</v>
      </c>
      <c r="N57" s="1" t="s">
        <v>16</v>
      </c>
      <c r="O57" s="1" t="s">
        <v>21</v>
      </c>
      <c r="P57" s="4" t="b">
        <f t="shared" si="5"/>
        <v>0</v>
      </c>
      <c r="Q57" s="1" t="s">
        <v>186</v>
      </c>
      <c r="R57" s="1" t="s">
        <v>187</v>
      </c>
      <c r="S57" s="1" t="s">
        <v>129</v>
      </c>
      <c r="T57" t="str">
        <f t="shared" ca="1" si="6"/>
        <v>A New Hope</v>
      </c>
      <c r="U57" s="4" t="str">
        <f t="shared" si="7"/>
        <v>Attack of the Clones</v>
      </c>
    </row>
    <row r="58" spans="1:21" ht="15.75" customHeight="1" x14ac:dyDescent="0.25">
      <c r="A58" s="1" t="s">
        <v>188</v>
      </c>
      <c r="B58" s="1">
        <v>185</v>
      </c>
      <c r="C58" s="1">
        <f t="shared" si="10"/>
        <v>1.85</v>
      </c>
      <c r="D58" s="1">
        <f t="shared" si="0"/>
        <v>72.5</v>
      </c>
      <c r="E58" s="1">
        <v>85</v>
      </c>
      <c r="F58" s="1">
        <f t="shared" si="9"/>
        <v>187.5</v>
      </c>
      <c r="G58" s="1">
        <f t="shared" si="2"/>
        <v>24.835646457268076</v>
      </c>
      <c r="H58" s="1" t="str">
        <f t="shared" si="1"/>
        <v>8.49441922256723 Less</v>
      </c>
      <c r="I58" s="4">
        <f t="shared" si="3"/>
        <v>27</v>
      </c>
      <c r="J58" s="4" t="str">
        <f t="shared" ca="1" si="4"/>
        <v>NA</v>
      </c>
      <c r="K58" s="5" t="str">
        <f ca="1">IFERROR(TODAY()-$J58, "NA")</f>
        <v>NA</v>
      </c>
      <c r="L58" s="1" t="s">
        <v>48</v>
      </c>
      <c r="M58" s="1" t="s">
        <v>98</v>
      </c>
      <c r="N58" s="1" t="s">
        <v>36</v>
      </c>
      <c r="O58" s="1" t="s">
        <v>21</v>
      </c>
      <c r="P58" s="4" t="b">
        <f t="shared" si="5"/>
        <v>0</v>
      </c>
      <c r="Q58" s="1" t="s">
        <v>29</v>
      </c>
      <c r="R58" s="1" t="s">
        <v>18</v>
      </c>
      <c r="S58" s="1" t="s">
        <v>189</v>
      </c>
      <c r="T58" t="str">
        <f t="shared" ca="1" si="6"/>
        <v>A New Hope</v>
      </c>
      <c r="U58" s="4" t="str">
        <f t="shared" si="7"/>
        <v>Attack of the Clones</v>
      </c>
    </row>
    <row r="59" spans="1:21" ht="15.75" customHeight="1" x14ac:dyDescent="0.25">
      <c r="A59" s="1" t="s">
        <v>190</v>
      </c>
      <c r="B59" s="1">
        <v>157</v>
      </c>
      <c r="C59" s="1">
        <f t="shared" si="10"/>
        <v>1.57</v>
      </c>
      <c r="D59" s="1">
        <f t="shared" si="0"/>
        <v>61.5</v>
      </c>
      <c r="E59" s="1" t="s">
        <v>21</v>
      </c>
      <c r="F59" s="1" t="str">
        <f t="shared" si="9"/>
        <v>NA</v>
      </c>
      <c r="G59" s="1">
        <f t="shared" si="2"/>
        <v>0</v>
      </c>
      <c r="H59" s="1" t="str">
        <f t="shared" si="1"/>
        <v>33.3300656798353 Less</v>
      </c>
      <c r="I59" s="4">
        <f t="shared" si="3"/>
        <v>60</v>
      </c>
      <c r="J59" s="4" t="str">
        <f t="shared" ca="1" si="4"/>
        <v>NA</v>
      </c>
      <c r="K59" s="5" t="str">
        <f ca="1">IFERROR(TODAY()-$J59, "NA")</f>
        <v>NA</v>
      </c>
      <c r="L59" s="1" t="s">
        <v>36</v>
      </c>
      <c r="M59" s="1" t="s">
        <v>37</v>
      </c>
      <c r="N59" s="1" t="s">
        <v>36</v>
      </c>
      <c r="O59" s="1" t="s">
        <v>21</v>
      </c>
      <c r="P59" s="4" t="b">
        <f t="shared" si="5"/>
        <v>0</v>
      </c>
      <c r="Q59" s="1" t="s">
        <v>29</v>
      </c>
      <c r="R59" s="1" t="s">
        <v>18</v>
      </c>
      <c r="S59" s="1" t="s">
        <v>189</v>
      </c>
      <c r="T59" t="str">
        <f t="shared" ca="1" si="6"/>
        <v>A New Hope</v>
      </c>
      <c r="U59" s="4" t="str">
        <f t="shared" si="7"/>
        <v>Attack of the Clones</v>
      </c>
    </row>
    <row r="60" spans="1:21" ht="15.75" customHeight="1" x14ac:dyDescent="0.25">
      <c r="A60" s="1" t="s">
        <v>191</v>
      </c>
      <c r="B60" s="1">
        <v>183</v>
      </c>
      <c r="C60" s="1">
        <f t="shared" si="10"/>
        <v>1.83</v>
      </c>
      <c r="D60" s="1">
        <f t="shared" si="0"/>
        <v>72</v>
      </c>
      <c r="E60" s="1" t="s">
        <v>21</v>
      </c>
      <c r="F60" s="1" t="str">
        <f t="shared" si="9"/>
        <v>NA</v>
      </c>
      <c r="G60" s="1">
        <f t="shared" si="2"/>
        <v>0</v>
      </c>
      <c r="H60" s="1" t="str">
        <f t="shared" si="1"/>
        <v>33.3300656798353 Less</v>
      </c>
      <c r="I60" s="4">
        <f t="shared" si="3"/>
        <v>60</v>
      </c>
      <c r="J60" s="4">
        <f t="shared" ca="1" si="4"/>
        <v>29930</v>
      </c>
      <c r="K60" s="5">
        <f ca="1">IFERROR(TODAY()-$J60, "NA")</f>
        <v>16107</v>
      </c>
      <c r="L60" s="1" t="s">
        <v>36</v>
      </c>
      <c r="M60" s="1" t="s">
        <v>15</v>
      </c>
      <c r="N60" s="1" t="s">
        <v>16</v>
      </c>
      <c r="O60" s="1">
        <v>82</v>
      </c>
      <c r="P60" s="4" t="b">
        <f t="shared" si="5"/>
        <v>1</v>
      </c>
      <c r="Q60" s="1" t="s">
        <v>17</v>
      </c>
      <c r="R60" s="1" t="s">
        <v>18</v>
      </c>
      <c r="S60" s="1" t="s">
        <v>189</v>
      </c>
      <c r="T60" t="str">
        <f t="shared" ca="1" si="6"/>
        <v>A New Hope</v>
      </c>
      <c r="U60" s="4" t="str">
        <f t="shared" si="7"/>
        <v>Attack of the Clones</v>
      </c>
    </row>
    <row r="61" spans="1:21" ht="15.75" customHeight="1" x14ac:dyDescent="0.25">
      <c r="A61" s="1" t="s">
        <v>192</v>
      </c>
      <c r="B61" s="1">
        <v>183</v>
      </c>
      <c r="C61" s="1">
        <f t="shared" si="10"/>
        <v>1.83</v>
      </c>
      <c r="D61" s="1">
        <f t="shared" si="0"/>
        <v>72</v>
      </c>
      <c r="E61" s="1">
        <v>80</v>
      </c>
      <c r="F61" s="1">
        <f t="shared" si="9"/>
        <v>176.25</v>
      </c>
      <c r="G61" s="1">
        <f t="shared" si="2"/>
        <v>23.888440980620498</v>
      </c>
      <c r="H61" s="1" t="str">
        <f t="shared" si="1"/>
        <v>9.44162469921481 Less</v>
      </c>
      <c r="I61" s="4">
        <f t="shared" si="3"/>
        <v>34</v>
      </c>
      <c r="J61" s="4" t="str">
        <f t="shared" ca="1" si="4"/>
        <v>NA</v>
      </c>
      <c r="K61" s="5" t="str">
        <f ca="1">IFERROR(TODAY()-$J61, "NA")</f>
        <v>NA</v>
      </c>
      <c r="L61" s="1" t="s">
        <v>32</v>
      </c>
      <c r="M61" s="1" t="s">
        <v>67</v>
      </c>
      <c r="N61" s="1" t="s">
        <v>23</v>
      </c>
      <c r="O61" s="1" t="s">
        <v>21</v>
      </c>
      <c r="P61" s="4" t="b">
        <f t="shared" si="5"/>
        <v>0</v>
      </c>
      <c r="Q61" s="1" t="s">
        <v>193</v>
      </c>
      <c r="R61" s="1" t="s">
        <v>194</v>
      </c>
      <c r="S61" s="1" t="s">
        <v>195</v>
      </c>
      <c r="T61" t="str">
        <f t="shared" ca="1" si="6"/>
        <v>A New Hope</v>
      </c>
      <c r="U61" s="4" t="str">
        <f t="shared" si="7"/>
        <v>Attack of the Clones</v>
      </c>
    </row>
    <row r="62" spans="1:21" ht="15.75" customHeight="1" x14ac:dyDescent="0.25">
      <c r="A62" s="1" t="s">
        <v>196</v>
      </c>
      <c r="B62" s="1">
        <v>170</v>
      </c>
      <c r="C62" s="1">
        <f t="shared" si="10"/>
        <v>1.7</v>
      </c>
      <c r="D62" s="1">
        <f t="shared" si="0"/>
        <v>66.5</v>
      </c>
      <c r="E62" s="1">
        <v>56.2</v>
      </c>
      <c r="F62" s="1">
        <f t="shared" si="9"/>
        <v>124</v>
      </c>
      <c r="G62" s="1">
        <f t="shared" si="2"/>
        <v>19.446366782006923</v>
      </c>
      <c r="H62" s="1" t="str">
        <f t="shared" si="1"/>
        <v>13.8836988978284 Less</v>
      </c>
      <c r="I62" s="4">
        <f t="shared" si="3"/>
        <v>48</v>
      </c>
      <c r="J62" s="4">
        <f t="shared" ca="1" si="4"/>
        <v>21170</v>
      </c>
      <c r="K62" s="5">
        <f ca="1">IFERROR(TODAY()-$J62, "NA")</f>
        <v>24867</v>
      </c>
      <c r="L62" s="1" t="s">
        <v>48</v>
      </c>
      <c r="M62" s="1" t="s">
        <v>23</v>
      </c>
      <c r="N62" s="1" t="s">
        <v>16</v>
      </c>
      <c r="O62" s="1">
        <v>58</v>
      </c>
      <c r="P62" s="4" t="b">
        <f t="shared" si="5"/>
        <v>1</v>
      </c>
      <c r="Q62" s="1" t="s">
        <v>197</v>
      </c>
      <c r="R62" s="1" t="s">
        <v>198</v>
      </c>
      <c r="S62" s="1" t="s">
        <v>195</v>
      </c>
      <c r="T62" t="str">
        <f t="shared" ca="1" si="6"/>
        <v>A New Hope</v>
      </c>
      <c r="U62" s="4" t="str">
        <f t="shared" si="7"/>
        <v>Attack of the Clones</v>
      </c>
    </row>
    <row r="63" spans="1:21" ht="15.75" customHeight="1" x14ac:dyDescent="0.25">
      <c r="A63" s="1" t="s">
        <v>199</v>
      </c>
      <c r="B63" s="1">
        <v>166</v>
      </c>
      <c r="C63" s="1">
        <f t="shared" si="10"/>
        <v>1.66</v>
      </c>
      <c r="D63" s="1">
        <f t="shared" si="0"/>
        <v>65</v>
      </c>
      <c r="E63" s="1">
        <v>50</v>
      </c>
      <c r="F63" s="1">
        <f t="shared" si="9"/>
        <v>110.25</v>
      </c>
      <c r="G63" s="1">
        <f t="shared" si="2"/>
        <v>18.144868631151112</v>
      </c>
      <c r="H63" s="1" t="str">
        <f t="shared" si="1"/>
        <v>15.1851970486842 Less</v>
      </c>
      <c r="I63" s="4">
        <f t="shared" si="3"/>
        <v>50</v>
      </c>
      <c r="J63" s="4">
        <f t="shared" ca="1" si="4"/>
        <v>14600</v>
      </c>
      <c r="K63" s="5">
        <f ca="1">IFERROR(TODAY()-$J63, "NA")</f>
        <v>31437</v>
      </c>
      <c r="L63" s="1" t="s">
        <v>48</v>
      </c>
      <c r="M63" s="1" t="s">
        <v>23</v>
      </c>
      <c r="N63" s="1" t="s">
        <v>16</v>
      </c>
      <c r="O63" s="1">
        <v>40</v>
      </c>
      <c r="P63" s="4" t="b">
        <f t="shared" si="5"/>
        <v>1</v>
      </c>
      <c r="Q63" s="1" t="s">
        <v>197</v>
      </c>
      <c r="R63" s="1" t="s">
        <v>198</v>
      </c>
      <c r="S63" s="1" t="s">
        <v>189</v>
      </c>
      <c r="T63" t="str">
        <f t="shared" ca="1" si="6"/>
        <v>The Phantom Menace</v>
      </c>
      <c r="U63" s="4" t="str">
        <f t="shared" si="7"/>
        <v>Attack of the Clones</v>
      </c>
    </row>
    <row r="64" spans="1:21" ht="15.75" customHeight="1" x14ac:dyDescent="0.25">
      <c r="A64" s="1" t="s">
        <v>200</v>
      </c>
      <c r="B64" s="1">
        <v>165</v>
      </c>
      <c r="C64" s="1">
        <f t="shared" si="10"/>
        <v>1.65</v>
      </c>
      <c r="D64" s="1">
        <f t="shared" si="0"/>
        <v>64.5</v>
      </c>
      <c r="E64" s="1" t="s">
        <v>21</v>
      </c>
      <c r="F64" s="1" t="str">
        <f t="shared" si="9"/>
        <v>NA</v>
      </c>
      <c r="G64" s="1">
        <f t="shared" si="2"/>
        <v>0</v>
      </c>
      <c r="H64" s="1" t="str">
        <f t="shared" si="1"/>
        <v>33.3300656798353 Less</v>
      </c>
      <c r="I64" s="4">
        <f t="shared" si="3"/>
        <v>60</v>
      </c>
      <c r="J64" s="4" t="str">
        <f t="shared" ca="1" si="4"/>
        <v>NA</v>
      </c>
      <c r="K64" s="5" t="str">
        <f ca="1">IFERROR(TODAY()-$J64, "NA")</f>
        <v>NA</v>
      </c>
      <c r="L64" s="1" t="s">
        <v>36</v>
      </c>
      <c r="M64" s="1" t="s">
        <v>37</v>
      </c>
      <c r="N64" s="1" t="s">
        <v>36</v>
      </c>
      <c r="O64" s="1" t="s">
        <v>21</v>
      </c>
      <c r="P64" s="4" t="b">
        <f t="shared" si="5"/>
        <v>0</v>
      </c>
      <c r="Q64" s="1" t="s">
        <v>29</v>
      </c>
      <c r="R64" s="1" t="s">
        <v>18</v>
      </c>
      <c r="S64" s="1" t="s">
        <v>189</v>
      </c>
      <c r="T64" t="str">
        <f t="shared" ca="1" si="6"/>
        <v>A New Hope</v>
      </c>
      <c r="U64" s="4" t="str">
        <f t="shared" si="7"/>
        <v>Attack of the Clones</v>
      </c>
    </row>
    <row r="65" spans="1:21" ht="15.75" customHeight="1" x14ac:dyDescent="0.25">
      <c r="A65" s="1" t="s">
        <v>201</v>
      </c>
      <c r="B65" s="1">
        <v>193</v>
      </c>
      <c r="C65" s="1">
        <f t="shared" si="10"/>
        <v>1.93</v>
      </c>
      <c r="D65" s="1">
        <f t="shared" si="0"/>
        <v>75.5</v>
      </c>
      <c r="E65" s="1">
        <v>80</v>
      </c>
      <c r="F65" s="1">
        <f t="shared" si="9"/>
        <v>176.25</v>
      </c>
      <c r="G65" s="1">
        <f t="shared" si="2"/>
        <v>21.477086633198208</v>
      </c>
      <c r="H65" s="1" t="str">
        <f t="shared" si="1"/>
        <v>11.8529790466371 Less</v>
      </c>
      <c r="I65" s="4">
        <f t="shared" si="3"/>
        <v>45</v>
      </c>
      <c r="J65" s="4">
        <f t="shared" ca="1" si="4"/>
        <v>37230</v>
      </c>
      <c r="K65" s="5">
        <f ca="1">IFERROR(TODAY()-$J65, "NA")</f>
        <v>8807</v>
      </c>
      <c r="L65" s="1" t="s">
        <v>33</v>
      </c>
      <c r="M65" s="1" t="s">
        <v>15</v>
      </c>
      <c r="N65" s="1" t="s">
        <v>36</v>
      </c>
      <c r="O65" s="1">
        <v>102</v>
      </c>
      <c r="P65" s="4" t="b">
        <f t="shared" si="5"/>
        <v>1</v>
      </c>
      <c r="Q65" s="1" t="s">
        <v>202</v>
      </c>
      <c r="R65" s="1" t="s">
        <v>18</v>
      </c>
      <c r="S65" s="1" t="s">
        <v>195</v>
      </c>
      <c r="T65" t="str">
        <f t="shared" ca="1" si="6"/>
        <v>A New Hope</v>
      </c>
      <c r="U65" s="4" t="str">
        <f t="shared" si="7"/>
        <v>Attack of the Clones</v>
      </c>
    </row>
    <row r="66" spans="1:21" ht="15.75" customHeight="1" x14ac:dyDescent="0.25">
      <c r="A66" s="1" t="s">
        <v>203</v>
      </c>
      <c r="B66" s="1">
        <v>191</v>
      </c>
      <c r="C66" s="1">
        <f t="shared" si="10"/>
        <v>1.91</v>
      </c>
      <c r="D66" s="1">
        <f t="shared" ref="D66:D88" si="11">IFERROR(FLOOR(CONVERT(B66, "cm", "in"), 0.5), "NA")</f>
        <v>75</v>
      </c>
      <c r="E66" s="1" t="s">
        <v>21</v>
      </c>
      <c r="F66" s="1" t="str">
        <f t="shared" si="9"/>
        <v>NA</v>
      </c>
      <c r="G66" s="1">
        <f t="shared" ref="G66:G88" si="12">IF(C66="NA",0,IF(E66="NA",0,E66/(C66^2)))</f>
        <v>0</v>
      </c>
      <c r="H66" s="1" t="str">
        <f t="shared" si="1"/>
        <v>33.3300656798353 Less</v>
      </c>
      <c r="I66" s="4">
        <f t="shared" si="3"/>
        <v>60</v>
      </c>
      <c r="J66" s="4">
        <f t="shared" ca="1" si="4"/>
        <v>24455</v>
      </c>
      <c r="K66" s="5">
        <f ca="1">IFERROR(TODAY()-$J66, "NA")</f>
        <v>21582</v>
      </c>
      <c r="L66" s="1" t="s">
        <v>48</v>
      </c>
      <c r="M66" s="1" t="s">
        <v>204</v>
      </c>
      <c r="N66" s="1" t="s">
        <v>36</v>
      </c>
      <c r="O66" s="1">
        <v>67</v>
      </c>
      <c r="P66" s="4" t="b">
        <f t="shared" si="5"/>
        <v>1</v>
      </c>
      <c r="Q66" s="1" t="s">
        <v>38</v>
      </c>
      <c r="R66" s="1" t="s">
        <v>18</v>
      </c>
      <c r="S66" s="1" t="s">
        <v>195</v>
      </c>
      <c r="T66" t="str">
        <f t="shared" ca="1" si="6"/>
        <v>A New Hope</v>
      </c>
      <c r="U66" s="4" t="str">
        <f t="shared" si="7"/>
        <v>Attack of the Clones</v>
      </c>
    </row>
    <row r="67" spans="1:21" ht="15.75" customHeight="1" x14ac:dyDescent="0.25">
      <c r="A67" s="1" t="s">
        <v>205</v>
      </c>
      <c r="B67" s="1">
        <v>183</v>
      </c>
      <c r="C67" s="1">
        <f t="shared" si="10"/>
        <v>1.83</v>
      </c>
      <c r="D67" s="1">
        <f t="shared" si="11"/>
        <v>72</v>
      </c>
      <c r="E67" s="1">
        <v>79</v>
      </c>
      <c r="F67" s="1">
        <f t="shared" si="9"/>
        <v>174.25</v>
      </c>
      <c r="G67" s="1">
        <f t="shared" si="12"/>
        <v>23.589835468362743</v>
      </c>
      <c r="H67" s="1" t="str">
        <f t="shared" si="1"/>
        <v>9.74023021147256 Less</v>
      </c>
      <c r="I67" s="4">
        <f t="shared" ref="I67:I88" si="13">RANK($G67,$G$2:$G$88)</f>
        <v>37</v>
      </c>
      <c r="J67" s="4">
        <f t="shared" ref="J67:J88" ca="1" si="14">IFERROR((YEAR(TODAY())-(YEAR(TODAY())-$O67))*365, "NA")</f>
        <v>24090</v>
      </c>
      <c r="K67" s="5">
        <f ca="1">IFERROR(TODAY()-$J67, "NA")</f>
        <v>21947</v>
      </c>
      <c r="L67" s="1" t="s">
        <v>48</v>
      </c>
      <c r="M67" s="1" t="s">
        <v>204</v>
      </c>
      <c r="N67" s="1" t="s">
        <v>36</v>
      </c>
      <c r="O67" s="1">
        <v>66</v>
      </c>
      <c r="P67" s="4" t="b">
        <f t="shared" ref="P67:P88" si="15">ISNUMBER($O67)</f>
        <v>1</v>
      </c>
      <c r="Q67" s="1" t="s">
        <v>206</v>
      </c>
      <c r="R67" s="1" t="s">
        <v>18</v>
      </c>
      <c r="S67" s="1" t="s">
        <v>189</v>
      </c>
      <c r="T67" t="str">
        <f t="shared" ref="T67:T88" ca="1" si="16">_xlfn.XLOOKUP(J67, $C$92:$C$100, $A$92:$A$100, "*Not Found*",-1)</f>
        <v>A New Hope</v>
      </c>
      <c r="U67" s="4" t="str">
        <f t="shared" ref="U67:U88" si="17">TRIM(IFERROR(LEFT(S67, SEARCH(",",S67)-1), S67))</f>
        <v>Attack of the Clones</v>
      </c>
    </row>
    <row r="68" spans="1:21" ht="15.75" customHeight="1" x14ac:dyDescent="0.25">
      <c r="A68" s="1" t="s">
        <v>207</v>
      </c>
      <c r="B68" s="1">
        <v>168</v>
      </c>
      <c r="C68" s="1">
        <f t="shared" si="10"/>
        <v>1.68</v>
      </c>
      <c r="D68" s="1">
        <f t="shared" si="11"/>
        <v>66</v>
      </c>
      <c r="E68" s="1">
        <v>55</v>
      </c>
      <c r="F68" s="1">
        <f t="shared" ref="F68:F88" si="18">IFERROR(MROUND(CONVERT(E68, "kg", "lbm"), 0.25), "NA")</f>
        <v>121.25</v>
      </c>
      <c r="G68" s="1">
        <f t="shared" si="12"/>
        <v>19.486961451247168</v>
      </c>
      <c r="H68" s="1" t="str">
        <f t="shared" si="1"/>
        <v>13.8431042285881 Less</v>
      </c>
      <c r="I68" s="4">
        <f t="shared" si="13"/>
        <v>47</v>
      </c>
      <c r="J68" s="4" t="str">
        <f t="shared" ca="1" si="14"/>
        <v>NA</v>
      </c>
      <c r="K68" s="5" t="str">
        <f ca="1">IFERROR(TODAY()-$J68, "NA")</f>
        <v>NA</v>
      </c>
      <c r="L68" s="1" t="s">
        <v>208</v>
      </c>
      <c r="M68" s="1" t="s">
        <v>209</v>
      </c>
      <c r="N68" s="1" t="s">
        <v>23</v>
      </c>
      <c r="O68" s="1" t="s">
        <v>21</v>
      </c>
      <c r="P68" s="4" t="b">
        <f t="shared" si="15"/>
        <v>0</v>
      </c>
      <c r="Q68" s="1" t="s">
        <v>210</v>
      </c>
      <c r="R68" s="1" t="s">
        <v>211</v>
      </c>
      <c r="S68" s="1" t="s">
        <v>189</v>
      </c>
      <c r="T68" t="str">
        <f t="shared" ca="1" si="16"/>
        <v>A New Hope</v>
      </c>
      <c r="U68" s="4" t="str">
        <f t="shared" si="17"/>
        <v>Attack of the Clones</v>
      </c>
    </row>
    <row r="69" spans="1:21" ht="15.75" customHeight="1" x14ac:dyDescent="0.25">
      <c r="A69" s="1" t="s">
        <v>212</v>
      </c>
      <c r="B69" s="1">
        <v>198</v>
      </c>
      <c r="C69" s="1">
        <f t="shared" si="10"/>
        <v>1.98</v>
      </c>
      <c r="D69" s="1">
        <f t="shared" si="11"/>
        <v>77.5</v>
      </c>
      <c r="E69" s="1">
        <v>102</v>
      </c>
      <c r="F69" s="1">
        <f t="shared" si="18"/>
        <v>224.75</v>
      </c>
      <c r="G69" s="1">
        <f t="shared" si="12"/>
        <v>26.017753290480563</v>
      </c>
      <c r="H69" s="1" t="str">
        <f t="shared" si="1"/>
        <v>7.31231238935474 Less</v>
      </c>
      <c r="I69" s="4">
        <f t="shared" si="13"/>
        <v>19</v>
      </c>
      <c r="J69" s="4" t="str">
        <f t="shared" ca="1" si="14"/>
        <v>NA</v>
      </c>
      <c r="K69" s="5" t="str">
        <f ca="1">IFERROR(TODAY()-$J69, "NA")</f>
        <v>NA</v>
      </c>
      <c r="L69" s="1" t="s">
        <v>32</v>
      </c>
      <c r="M69" s="1" t="s">
        <v>36</v>
      </c>
      <c r="N69" s="1" t="s">
        <v>23</v>
      </c>
      <c r="O69" s="1" t="s">
        <v>21</v>
      </c>
      <c r="P69" s="4" t="b">
        <f t="shared" si="15"/>
        <v>0</v>
      </c>
      <c r="Q69" s="1" t="s">
        <v>213</v>
      </c>
      <c r="R69" s="1" t="s">
        <v>214</v>
      </c>
      <c r="S69" s="1" t="s">
        <v>189</v>
      </c>
      <c r="T69" t="str">
        <f t="shared" ca="1" si="16"/>
        <v>A New Hope</v>
      </c>
      <c r="U69" s="4" t="str">
        <f t="shared" si="17"/>
        <v>Attack of the Clones</v>
      </c>
    </row>
    <row r="70" spans="1:21" ht="15.75" customHeight="1" x14ac:dyDescent="0.25">
      <c r="A70" s="1" t="s">
        <v>215</v>
      </c>
      <c r="B70" s="1">
        <v>229</v>
      </c>
      <c r="C70" s="1">
        <f t="shared" si="10"/>
        <v>2.29</v>
      </c>
      <c r="D70" s="1">
        <f t="shared" si="11"/>
        <v>90</v>
      </c>
      <c r="E70" s="1">
        <v>88</v>
      </c>
      <c r="F70" s="1">
        <f t="shared" si="18"/>
        <v>194</v>
      </c>
      <c r="G70" s="1">
        <f t="shared" si="12"/>
        <v>16.780763143342039</v>
      </c>
      <c r="H70" s="1" t="str">
        <f t="shared" si="1"/>
        <v>16.5493025364933 Less</v>
      </c>
      <c r="I70" s="4">
        <f t="shared" si="13"/>
        <v>54</v>
      </c>
      <c r="J70" s="4" t="str">
        <f t="shared" ca="1" si="14"/>
        <v>NA</v>
      </c>
      <c r="K70" s="5" t="str">
        <f ca="1">IFERROR(TODAY()-$J70, "NA")</f>
        <v>NA</v>
      </c>
      <c r="L70" s="1" t="s">
        <v>32</v>
      </c>
      <c r="M70" s="1" t="s">
        <v>85</v>
      </c>
      <c r="N70" s="1" t="s">
        <v>48</v>
      </c>
      <c r="O70" s="1" t="s">
        <v>21</v>
      </c>
      <c r="P70" s="4" t="b">
        <f t="shared" si="15"/>
        <v>0</v>
      </c>
      <c r="Q70" s="1" t="s">
        <v>89</v>
      </c>
      <c r="R70" s="1" t="s">
        <v>216</v>
      </c>
      <c r="S70" s="1" t="s">
        <v>189</v>
      </c>
      <c r="T70" t="str">
        <f t="shared" ca="1" si="16"/>
        <v>A New Hope</v>
      </c>
      <c r="U70" s="4" t="str">
        <f t="shared" si="17"/>
        <v>Attack of the Clones</v>
      </c>
    </row>
    <row r="71" spans="1:21" ht="15.75" customHeight="1" x14ac:dyDescent="0.25">
      <c r="A71" s="1" t="s">
        <v>217</v>
      </c>
      <c r="B71" s="1">
        <v>213</v>
      </c>
      <c r="C71" s="1">
        <f t="shared" si="10"/>
        <v>2.13</v>
      </c>
      <c r="D71" s="1">
        <f t="shared" si="11"/>
        <v>83.5</v>
      </c>
      <c r="E71" s="1" t="s">
        <v>21</v>
      </c>
      <c r="F71" s="1" t="str">
        <f t="shared" si="18"/>
        <v>NA</v>
      </c>
      <c r="G71" s="1">
        <f t="shared" si="12"/>
        <v>0</v>
      </c>
      <c r="H71" s="1" t="str">
        <f t="shared" si="1"/>
        <v>33.3300656798353 Less</v>
      </c>
      <c r="I71" s="4">
        <f t="shared" si="13"/>
        <v>60</v>
      </c>
      <c r="J71" s="4" t="str">
        <f t="shared" ca="1" si="14"/>
        <v>NA</v>
      </c>
      <c r="K71" s="5" t="str">
        <f ca="1">IFERROR(TODAY()-$J71, "NA")</f>
        <v>NA</v>
      </c>
      <c r="L71" s="1" t="s">
        <v>32</v>
      </c>
      <c r="M71" s="1" t="s">
        <v>85</v>
      </c>
      <c r="N71" s="1" t="s">
        <v>48</v>
      </c>
      <c r="O71" s="1" t="s">
        <v>21</v>
      </c>
      <c r="P71" s="4" t="b">
        <f t="shared" si="15"/>
        <v>0</v>
      </c>
      <c r="Q71" s="1" t="s">
        <v>89</v>
      </c>
      <c r="R71" s="1" t="s">
        <v>216</v>
      </c>
      <c r="S71" s="1" t="s">
        <v>189</v>
      </c>
      <c r="T71" t="str">
        <f t="shared" ca="1" si="16"/>
        <v>A New Hope</v>
      </c>
      <c r="U71" s="4" t="str">
        <f t="shared" si="17"/>
        <v>Attack of the Clones</v>
      </c>
    </row>
    <row r="72" spans="1:21" ht="15.75" customHeight="1" x14ac:dyDescent="0.25">
      <c r="A72" s="1" t="s">
        <v>218</v>
      </c>
      <c r="B72" s="1">
        <v>167</v>
      </c>
      <c r="C72" s="1">
        <f t="shared" si="10"/>
        <v>1.67</v>
      </c>
      <c r="D72" s="1">
        <f t="shared" si="11"/>
        <v>65.5</v>
      </c>
      <c r="E72" s="1" t="s">
        <v>21</v>
      </c>
      <c r="F72" s="1" t="str">
        <f t="shared" si="18"/>
        <v>NA</v>
      </c>
      <c r="G72" s="1">
        <f t="shared" si="12"/>
        <v>0</v>
      </c>
      <c r="H72" s="1" t="str">
        <f t="shared" si="1"/>
        <v>33.3300656798353 Less</v>
      </c>
      <c r="I72" s="4">
        <f t="shared" si="13"/>
        <v>60</v>
      </c>
      <c r="J72" s="4" t="str">
        <f t="shared" ca="1" si="14"/>
        <v>NA</v>
      </c>
      <c r="K72" s="5" t="str">
        <f ca="1">IFERROR(TODAY()-$J72, "NA")</f>
        <v>NA</v>
      </c>
      <c r="L72" s="1" t="s">
        <v>33</v>
      </c>
      <c r="M72" s="1" t="s">
        <v>15</v>
      </c>
      <c r="N72" s="1" t="s">
        <v>16</v>
      </c>
      <c r="O72" s="1" t="s">
        <v>21</v>
      </c>
      <c r="P72" s="4" t="b">
        <f t="shared" si="15"/>
        <v>0</v>
      </c>
      <c r="Q72" s="1" t="s">
        <v>126</v>
      </c>
      <c r="R72" s="1" t="s">
        <v>18</v>
      </c>
      <c r="S72" s="1" t="s">
        <v>189</v>
      </c>
      <c r="T72" t="str">
        <f t="shared" ca="1" si="16"/>
        <v>A New Hope</v>
      </c>
      <c r="U72" s="4" t="str">
        <f t="shared" si="17"/>
        <v>Attack of the Clones</v>
      </c>
    </row>
    <row r="73" spans="1:21" ht="15.75" customHeight="1" x14ac:dyDescent="0.25">
      <c r="A73" s="1" t="s">
        <v>219</v>
      </c>
      <c r="B73" s="1">
        <v>79</v>
      </c>
      <c r="C73" s="1">
        <f t="shared" si="10"/>
        <v>0.79</v>
      </c>
      <c r="D73" s="1">
        <f t="shared" si="11"/>
        <v>31</v>
      </c>
      <c r="E73" s="1">
        <v>15</v>
      </c>
      <c r="F73" s="1">
        <f t="shared" si="18"/>
        <v>33</v>
      </c>
      <c r="G73" s="1">
        <f t="shared" si="12"/>
        <v>24.034609838166958</v>
      </c>
      <c r="H73" s="1" t="str">
        <f t="shared" si="1"/>
        <v>9.29545584166835 Less</v>
      </c>
      <c r="I73" s="4">
        <f t="shared" si="13"/>
        <v>32</v>
      </c>
      <c r="J73" s="4" t="str">
        <f t="shared" ca="1" si="14"/>
        <v>NA</v>
      </c>
      <c r="K73" s="5" t="str">
        <f ca="1">IFERROR(TODAY()-$J73, "NA")</f>
        <v>NA</v>
      </c>
      <c r="L73" s="1" t="s">
        <v>32</v>
      </c>
      <c r="M73" s="1" t="s">
        <v>220</v>
      </c>
      <c r="N73" s="1" t="s">
        <v>60</v>
      </c>
      <c r="O73" s="1" t="s">
        <v>21</v>
      </c>
      <c r="P73" s="4" t="b">
        <f t="shared" si="15"/>
        <v>0</v>
      </c>
      <c r="Q73" s="1" t="s">
        <v>221</v>
      </c>
      <c r="R73" s="1" t="s">
        <v>222</v>
      </c>
      <c r="S73" s="1" t="s">
        <v>120</v>
      </c>
      <c r="T73" t="str">
        <f t="shared" ca="1" si="16"/>
        <v>A New Hope</v>
      </c>
      <c r="U73" s="4" t="str">
        <f t="shared" si="17"/>
        <v>The Phantom Menace</v>
      </c>
    </row>
    <row r="74" spans="1:21" ht="15.75" customHeight="1" x14ac:dyDescent="0.25">
      <c r="A74" s="1" t="s">
        <v>223</v>
      </c>
      <c r="B74" s="1">
        <v>96</v>
      </c>
      <c r="C74" s="1">
        <f t="shared" si="10"/>
        <v>0.96</v>
      </c>
      <c r="D74" s="1">
        <f t="shared" si="11"/>
        <v>37.5</v>
      </c>
      <c r="E74" s="1" t="s">
        <v>21</v>
      </c>
      <c r="F74" s="1" t="str">
        <f t="shared" si="18"/>
        <v>NA</v>
      </c>
      <c r="G74" s="1">
        <f t="shared" si="12"/>
        <v>0</v>
      </c>
      <c r="H74" s="1" t="str">
        <f t="shared" si="1"/>
        <v>33.3300656798353 Less</v>
      </c>
      <c r="I74" s="4">
        <f t="shared" si="13"/>
        <v>60</v>
      </c>
      <c r="J74" s="4" t="str">
        <f t="shared" ca="1" si="14"/>
        <v>NA</v>
      </c>
      <c r="K74" s="5" t="str">
        <f ca="1">IFERROR(TODAY()-$J74, "NA")</f>
        <v>NA</v>
      </c>
      <c r="L74" s="1" t="s">
        <v>32</v>
      </c>
      <c r="M74" s="1" t="s">
        <v>224</v>
      </c>
      <c r="N74" s="1" t="s">
        <v>225</v>
      </c>
      <c r="O74" s="1" t="s">
        <v>21</v>
      </c>
      <c r="P74" s="4" t="b">
        <f t="shared" si="15"/>
        <v>0</v>
      </c>
      <c r="Q74" s="1" t="s">
        <v>21</v>
      </c>
      <c r="R74" s="1" t="s">
        <v>21</v>
      </c>
      <c r="S74" s="1" t="s">
        <v>195</v>
      </c>
      <c r="T74" t="str">
        <f t="shared" ca="1" si="16"/>
        <v>A New Hope</v>
      </c>
      <c r="U74" s="4" t="str">
        <f t="shared" si="17"/>
        <v>Attack of the Clones</v>
      </c>
    </row>
    <row r="75" spans="1:21" ht="15.75" customHeight="1" x14ac:dyDescent="0.25">
      <c r="A75" s="1" t="s">
        <v>226</v>
      </c>
      <c r="B75" s="1">
        <v>193</v>
      </c>
      <c r="C75" s="1">
        <f t="shared" si="10"/>
        <v>1.93</v>
      </c>
      <c r="D75" s="1">
        <f t="shared" si="11"/>
        <v>75.5</v>
      </c>
      <c r="E75" s="1">
        <v>48</v>
      </c>
      <c r="F75" s="1">
        <f t="shared" si="18"/>
        <v>105.75</v>
      </c>
      <c r="G75" s="1">
        <f t="shared" si="12"/>
        <v>12.886251979918924</v>
      </c>
      <c r="H75" s="1" t="str">
        <f t="shared" si="1"/>
        <v>20.4438136999164 Less</v>
      </c>
      <c r="I75" s="4">
        <f t="shared" si="13"/>
        <v>59</v>
      </c>
      <c r="J75" s="4" t="str">
        <f t="shared" ca="1" si="14"/>
        <v>NA</v>
      </c>
      <c r="K75" s="5" t="str">
        <f ca="1">IFERROR(TODAY()-$J75, "NA")</f>
        <v>NA</v>
      </c>
      <c r="L75" s="1" t="s">
        <v>32</v>
      </c>
      <c r="M75" s="1" t="s">
        <v>227</v>
      </c>
      <c r="N75" s="1" t="s">
        <v>60</v>
      </c>
      <c r="O75" s="1" t="s">
        <v>21</v>
      </c>
      <c r="P75" s="4" t="b">
        <f t="shared" si="15"/>
        <v>0</v>
      </c>
      <c r="Q75" s="1" t="s">
        <v>228</v>
      </c>
      <c r="R75" s="1" t="s">
        <v>229</v>
      </c>
      <c r="S75" s="1" t="s">
        <v>189</v>
      </c>
      <c r="T75" t="str">
        <f t="shared" ca="1" si="16"/>
        <v>A New Hope</v>
      </c>
      <c r="U75" s="4" t="str">
        <f t="shared" si="17"/>
        <v>Attack of the Clones</v>
      </c>
    </row>
    <row r="76" spans="1:21" ht="15.75" customHeight="1" x14ac:dyDescent="0.25">
      <c r="A76" s="1" t="s">
        <v>230</v>
      </c>
      <c r="B76" s="1">
        <v>191</v>
      </c>
      <c r="C76" s="1">
        <f t="shared" si="10"/>
        <v>1.91</v>
      </c>
      <c r="D76" s="1">
        <f t="shared" si="11"/>
        <v>75</v>
      </c>
      <c r="E76" s="1" t="s">
        <v>21</v>
      </c>
      <c r="F76" s="1" t="str">
        <f t="shared" si="18"/>
        <v>NA</v>
      </c>
      <c r="G76" s="1">
        <f t="shared" si="12"/>
        <v>0</v>
      </c>
      <c r="H76" s="1" t="str">
        <f t="shared" si="1"/>
        <v>33.3300656798353 Less</v>
      </c>
      <c r="I76" s="4">
        <f t="shared" si="13"/>
        <v>60</v>
      </c>
      <c r="J76" s="4" t="str">
        <f t="shared" ca="1" si="14"/>
        <v>NA</v>
      </c>
      <c r="K76" s="5" t="str">
        <f ca="1">IFERROR(TODAY()-$J76, "NA")</f>
        <v>NA</v>
      </c>
      <c r="L76" s="1" t="s">
        <v>32</v>
      </c>
      <c r="M76" s="1" t="s">
        <v>85</v>
      </c>
      <c r="N76" s="1" t="s">
        <v>22</v>
      </c>
      <c r="O76" s="1" t="s">
        <v>21</v>
      </c>
      <c r="P76" s="4" t="b">
        <f t="shared" si="15"/>
        <v>0</v>
      </c>
      <c r="Q76" s="1" t="s">
        <v>231</v>
      </c>
      <c r="R76" s="1" t="s">
        <v>232</v>
      </c>
      <c r="S76" s="1" t="s">
        <v>189</v>
      </c>
      <c r="T76" t="str">
        <f t="shared" ca="1" si="16"/>
        <v>A New Hope</v>
      </c>
      <c r="U76" s="4" t="str">
        <f t="shared" si="17"/>
        <v>Attack of the Clones</v>
      </c>
    </row>
    <row r="77" spans="1:21" ht="15.75" customHeight="1" x14ac:dyDescent="0.25">
      <c r="A77" s="1" t="s">
        <v>233</v>
      </c>
      <c r="B77" s="1">
        <v>178</v>
      </c>
      <c r="C77" s="1">
        <f t="shared" ref="C77:C88" si="19">IFERROR(B77/100, "NA")</f>
        <v>1.78</v>
      </c>
      <c r="D77" s="1">
        <f t="shared" si="11"/>
        <v>70</v>
      </c>
      <c r="E77" s="1">
        <v>57</v>
      </c>
      <c r="F77" s="1">
        <f t="shared" si="18"/>
        <v>125.75</v>
      </c>
      <c r="G77" s="1">
        <f t="shared" si="12"/>
        <v>17.99015275849009</v>
      </c>
      <c r="H77" s="1" t="str">
        <f t="shared" si="1"/>
        <v>15.3399129213452 Less</v>
      </c>
      <c r="I77" s="4">
        <f t="shared" si="13"/>
        <v>51</v>
      </c>
      <c r="J77" s="4" t="str">
        <f t="shared" ca="1" si="14"/>
        <v>NA</v>
      </c>
      <c r="K77" s="5" t="str">
        <f ca="1">IFERROR(TODAY()-$J77, "NA")</f>
        <v>NA</v>
      </c>
      <c r="L77" s="1" t="s">
        <v>32</v>
      </c>
      <c r="M77" s="1" t="s">
        <v>234</v>
      </c>
      <c r="N77" s="1" t="s">
        <v>48</v>
      </c>
      <c r="O77" s="1" t="s">
        <v>21</v>
      </c>
      <c r="P77" s="4" t="b">
        <f t="shared" si="15"/>
        <v>0</v>
      </c>
      <c r="Q77" s="1" t="s">
        <v>235</v>
      </c>
      <c r="R77" s="1" t="s">
        <v>236</v>
      </c>
      <c r="S77" s="1" t="s">
        <v>195</v>
      </c>
      <c r="T77" t="str">
        <f t="shared" ca="1" si="16"/>
        <v>A New Hope</v>
      </c>
      <c r="U77" s="4" t="str">
        <f t="shared" si="17"/>
        <v>Attack of the Clones</v>
      </c>
    </row>
    <row r="78" spans="1:21" ht="15.75" customHeight="1" x14ac:dyDescent="0.25">
      <c r="A78" s="1" t="s">
        <v>237</v>
      </c>
      <c r="B78" s="1">
        <v>216</v>
      </c>
      <c r="C78" s="1">
        <f t="shared" si="19"/>
        <v>2.16</v>
      </c>
      <c r="D78" s="1">
        <f t="shared" si="11"/>
        <v>85</v>
      </c>
      <c r="E78" s="1">
        <v>159</v>
      </c>
      <c r="F78" s="1">
        <f t="shared" si="18"/>
        <v>350.5</v>
      </c>
      <c r="G78" s="1">
        <f t="shared" si="12"/>
        <v>34.079218106995881</v>
      </c>
      <c r="H78" s="1" t="str">
        <f t="shared" si="1"/>
        <v>0.749152427160574 More</v>
      </c>
      <c r="I78" s="4">
        <f t="shared" si="13"/>
        <v>7</v>
      </c>
      <c r="J78" s="4" t="str">
        <f t="shared" ca="1" si="14"/>
        <v>NA</v>
      </c>
      <c r="K78" s="5" t="str">
        <f ca="1">IFERROR(TODAY()-$J78, "NA")</f>
        <v>NA</v>
      </c>
      <c r="L78" s="1" t="s">
        <v>32</v>
      </c>
      <c r="M78" s="1" t="s">
        <v>238</v>
      </c>
      <c r="N78" s="1" t="s">
        <v>239</v>
      </c>
      <c r="O78" s="1" t="s">
        <v>21</v>
      </c>
      <c r="P78" s="4" t="b">
        <f t="shared" si="15"/>
        <v>0</v>
      </c>
      <c r="Q78" s="1" t="s">
        <v>240</v>
      </c>
      <c r="R78" s="1" t="s">
        <v>241</v>
      </c>
      <c r="S78" s="1" t="s">
        <v>242</v>
      </c>
      <c r="T78" t="str">
        <f t="shared" ca="1" si="16"/>
        <v>A New Hope</v>
      </c>
      <c r="U78" s="4" t="str">
        <f t="shared" si="17"/>
        <v>Revenge of the Sith</v>
      </c>
    </row>
    <row r="79" spans="1:21" ht="15.75" customHeight="1" x14ac:dyDescent="0.25">
      <c r="A79" s="1" t="s">
        <v>243</v>
      </c>
      <c r="B79" s="1">
        <v>234</v>
      </c>
      <c r="C79" s="1">
        <f t="shared" si="19"/>
        <v>2.34</v>
      </c>
      <c r="D79" s="1">
        <f t="shared" si="11"/>
        <v>92</v>
      </c>
      <c r="E79" s="1">
        <v>136</v>
      </c>
      <c r="F79" s="1">
        <f t="shared" si="18"/>
        <v>299.75</v>
      </c>
      <c r="G79" s="1">
        <f t="shared" si="12"/>
        <v>24.837460734896638</v>
      </c>
      <c r="H79" s="1" t="str">
        <f t="shared" si="1"/>
        <v>8.49260494493867 Less</v>
      </c>
      <c r="I79" s="4">
        <f t="shared" si="13"/>
        <v>26</v>
      </c>
      <c r="J79" s="4" t="str">
        <f t="shared" ca="1" si="14"/>
        <v>NA</v>
      </c>
      <c r="K79" s="5" t="str">
        <f ca="1">IFERROR(TODAY()-$J79, "NA")</f>
        <v>NA</v>
      </c>
      <c r="L79" s="1" t="s">
        <v>36</v>
      </c>
      <c r="M79" s="1" t="s">
        <v>36</v>
      </c>
      <c r="N79" s="1" t="s">
        <v>16</v>
      </c>
      <c r="O79" s="1" t="s">
        <v>21</v>
      </c>
      <c r="P79" s="4" t="b">
        <f t="shared" si="15"/>
        <v>0</v>
      </c>
      <c r="Q79" s="1" t="s">
        <v>61</v>
      </c>
      <c r="R79" s="1" t="s">
        <v>62</v>
      </c>
      <c r="S79" s="1" t="s">
        <v>242</v>
      </c>
      <c r="T79" t="str">
        <f t="shared" ca="1" si="16"/>
        <v>A New Hope</v>
      </c>
      <c r="U79" s="4" t="str">
        <f t="shared" si="17"/>
        <v>Revenge of the Sith</v>
      </c>
    </row>
    <row r="80" spans="1:21" ht="15.75" customHeight="1" x14ac:dyDescent="0.25">
      <c r="A80" s="1" t="s">
        <v>244</v>
      </c>
      <c r="B80" s="1">
        <v>188</v>
      </c>
      <c r="C80" s="1">
        <f t="shared" si="19"/>
        <v>1.88</v>
      </c>
      <c r="D80" s="1">
        <f t="shared" si="11"/>
        <v>74</v>
      </c>
      <c r="E80" s="1">
        <v>79</v>
      </c>
      <c r="F80" s="1">
        <f t="shared" si="18"/>
        <v>174.25</v>
      </c>
      <c r="G80" s="1">
        <f t="shared" si="12"/>
        <v>22.351742870076958</v>
      </c>
      <c r="H80" s="1" t="str">
        <f t="shared" si="1"/>
        <v>10.9783228097583 Less</v>
      </c>
      <c r="I80" s="4">
        <f t="shared" si="13"/>
        <v>42</v>
      </c>
      <c r="J80" s="4" t="str">
        <f t="shared" ca="1" si="14"/>
        <v>NA</v>
      </c>
      <c r="K80" s="5" t="str">
        <f ca="1">IFERROR(TODAY()-$J80, "NA")</f>
        <v>NA</v>
      </c>
      <c r="L80" s="1" t="s">
        <v>36</v>
      </c>
      <c r="M80" s="1" t="s">
        <v>37</v>
      </c>
      <c r="N80" s="1" t="s">
        <v>36</v>
      </c>
      <c r="O80" s="1" t="s">
        <v>21</v>
      </c>
      <c r="P80" s="4" t="b">
        <f t="shared" si="15"/>
        <v>0</v>
      </c>
      <c r="Q80" s="1" t="s">
        <v>38</v>
      </c>
      <c r="R80" s="1" t="s">
        <v>18</v>
      </c>
      <c r="S80" s="1" t="s">
        <v>58</v>
      </c>
      <c r="T80" t="str">
        <f t="shared" ca="1" si="16"/>
        <v>A New Hope</v>
      </c>
      <c r="U80" s="4" t="str">
        <f t="shared" si="17"/>
        <v>Revenge of the Sith</v>
      </c>
    </row>
    <row r="81" spans="1:21" ht="15.75" customHeight="1" x14ac:dyDescent="0.25">
      <c r="A81" s="1" t="s">
        <v>245</v>
      </c>
      <c r="B81" s="1">
        <v>178</v>
      </c>
      <c r="C81" s="1">
        <f t="shared" si="19"/>
        <v>1.78</v>
      </c>
      <c r="D81" s="1">
        <f t="shared" si="11"/>
        <v>70</v>
      </c>
      <c r="E81" s="1">
        <v>48</v>
      </c>
      <c r="F81" s="1">
        <f t="shared" si="18"/>
        <v>105.75</v>
      </c>
      <c r="G81" s="1">
        <f t="shared" si="12"/>
        <v>15.149602322939023</v>
      </c>
      <c r="H81" s="1" t="str">
        <f t="shared" si="1"/>
        <v>18.1804633568963 Less</v>
      </c>
      <c r="I81" s="4">
        <f t="shared" si="13"/>
        <v>57</v>
      </c>
      <c r="J81" s="4" t="str">
        <f t="shared" ca="1" si="14"/>
        <v>NA</v>
      </c>
      <c r="K81" s="5" t="str">
        <f ca="1">IFERROR(TODAY()-$J81, "NA")</f>
        <v>NA</v>
      </c>
      <c r="L81" s="1" t="s">
        <v>32</v>
      </c>
      <c r="M81" s="1" t="s">
        <v>86</v>
      </c>
      <c r="N81" s="1" t="s">
        <v>33</v>
      </c>
      <c r="O81" s="1" t="s">
        <v>21</v>
      </c>
      <c r="P81" s="4" t="b">
        <f t="shared" si="15"/>
        <v>0</v>
      </c>
      <c r="Q81" s="1" t="s">
        <v>246</v>
      </c>
      <c r="R81" s="1" t="s">
        <v>21</v>
      </c>
      <c r="S81" s="1" t="s">
        <v>195</v>
      </c>
      <c r="T81" t="str">
        <f t="shared" ca="1" si="16"/>
        <v>A New Hope</v>
      </c>
      <c r="U81" s="4" t="str">
        <f t="shared" si="17"/>
        <v>Attack of the Clones</v>
      </c>
    </row>
    <row r="82" spans="1:21" ht="15.75" customHeight="1" x14ac:dyDescent="0.25">
      <c r="A82" s="1" t="s">
        <v>247</v>
      </c>
      <c r="B82" s="1">
        <v>206</v>
      </c>
      <c r="C82" s="1">
        <f t="shared" si="19"/>
        <v>2.06</v>
      </c>
      <c r="D82" s="1">
        <f t="shared" si="11"/>
        <v>81</v>
      </c>
      <c r="E82" s="1">
        <v>80</v>
      </c>
      <c r="F82" s="1">
        <f t="shared" si="18"/>
        <v>176.25</v>
      </c>
      <c r="G82" s="1">
        <f t="shared" si="12"/>
        <v>18.851918182675089</v>
      </c>
      <c r="H82" s="1" t="str">
        <f t="shared" si="1"/>
        <v>14.4781474971602 Less</v>
      </c>
      <c r="I82" s="4">
        <f t="shared" si="13"/>
        <v>49</v>
      </c>
      <c r="J82" s="4" t="str">
        <f t="shared" ca="1" si="14"/>
        <v>NA</v>
      </c>
      <c r="K82" s="5" t="str">
        <f ca="1">IFERROR(TODAY()-$J82, "NA")</f>
        <v>NA</v>
      </c>
      <c r="L82" s="1" t="s">
        <v>32</v>
      </c>
      <c r="M82" s="1" t="s">
        <v>85</v>
      </c>
      <c r="N82" s="1" t="s">
        <v>48</v>
      </c>
      <c r="O82" s="1" t="s">
        <v>21</v>
      </c>
      <c r="P82" s="4" t="b">
        <f t="shared" si="15"/>
        <v>0</v>
      </c>
      <c r="Q82" s="1" t="s">
        <v>248</v>
      </c>
      <c r="R82" s="1" t="s">
        <v>249</v>
      </c>
      <c r="S82" s="1" t="s">
        <v>242</v>
      </c>
      <c r="T82" t="str">
        <f t="shared" ca="1" si="16"/>
        <v>A New Hope</v>
      </c>
      <c r="U82" s="4" t="str">
        <f t="shared" si="17"/>
        <v>Revenge of the Sith</v>
      </c>
    </row>
    <row r="83" spans="1:21" ht="15.75" customHeight="1" x14ac:dyDescent="0.25">
      <c r="A83" s="1" t="s">
        <v>250</v>
      </c>
      <c r="B83" s="1" t="s">
        <v>21</v>
      </c>
      <c r="C83" s="1" t="str">
        <f t="shared" si="19"/>
        <v>NA</v>
      </c>
      <c r="D83" s="1" t="str">
        <f t="shared" si="11"/>
        <v>NA</v>
      </c>
      <c r="E83" s="1" t="s">
        <v>21</v>
      </c>
      <c r="F83" s="1" t="str">
        <f t="shared" si="18"/>
        <v>NA</v>
      </c>
      <c r="G83" s="1">
        <f t="shared" si="12"/>
        <v>0</v>
      </c>
      <c r="H83" s="1" t="str">
        <f t="shared" si="1"/>
        <v>33.3300656798353 Less</v>
      </c>
      <c r="I83" s="4">
        <f t="shared" si="13"/>
        <v>60</v>
      </c>
      <c r="J83" s="4" t="str">
        <f t="shared" ca="1" si="14"/>
        <v>NA</v>
      </c>
      <c r="K83" s="5" t="str">
        <f ca="1">IFERROR(TODAY()-$J83, "NA")</f>
        <v>NA</v>
      </c>
      <c r="L83" s="1" t="s">
        <v>48</v>
      </c>
      <c r="M83" s="1" t="s">
        <v>98</v>
      </c>
      <c r="N83" s="1" t="s">
        <v>98</v>
      </c>
      <c r="O83" s="1" t="s">
        <v>21</v>
      </c>
      <c r="P83" s="4" t="b">
        <f t="shared" si="15"/>
        <v>0</v>
      </c>
      <c r="Q83" s="1" t="s">
        <v>21</v>
      </c>
      <c r="R83" s="1" t="s">
        <v>18</v>
      </c>
      <c r="S83" s="1" t="s">
        <v>251</v>
      </c>
      <c r="T83" t="str">
        <f t="shared" ca="1" si="16"/>
        <v>A New Hope</v>
      </c>
      <c r="U83" s="4" t="str">
        <f t="shared" si="17"/>
        <v>The Force Awakens</v>
      </c>
    </row>
    <row r="84" spans="1:21" ht="15.75" customHeight="1" x14ac:dyDescent="0.25">
      <c r="A84" s="1" t="s">
        <v>252</v>
      </c>
      <c r="B84" s="1" t="s">
        <v>21</v>
      </c>
      <c r="C84" s="1" t="str">
        <f t="shared" si="19"/>
        <v>NA</v>
      </c>
      <c r="D84" s="1" t="str">
        <f t="shared" si="11"/>
        <v>NA</v>
      </c>
      <c r="E84" s="1" t="s">
        <v>21</v>
      </c>
      <c r="F84" s="1" t="str">
        <f t="shared" si="18"/>
        <v>NA</v>
      </c>
      <c r="G84" s="1">
        <f t="shared" si="12"/>
        <v>0</v>
      </c>
      <c r="H84" s="1" t="str">
        <f t="shared" si="1"/>
        <v>33.3300656798353 Less</v>
      </c>
      <c r="I84" s="4">
        <f t="shared" si="13"/>
        <v>60</v>
      </c>
      <c r="J84" s="4" t="str">
        <f t="shared" ca="1" si="14"/>
        <v>NA</v>
      </c>
      <c r="K84" s="5" t="str">
        <f ca="1">IFERROR(TODAY()-$J84, "NA")</f>
        <v>NA</v>
      </c>
      <c r="L84" s="1" t="s">
        <v>36</v>
      </c>
      <c r="M84" s="1" t="s">
        <v>37</v>
      </c>
      <c r="N84" s="1" t="s">
        <v>77</v>
      </c>
      <c r="O84" s="1" t="s">
        <v>21</v>
      </c>
      <c r="P84" s="4" t="b">
        <f t="shared" si="15"/>
        <v>0</v>
      </c>
      <c r="Q84" s="1" t="s">
        <v>21</v>
      </c>
      <c r="R84" s="1" t="s">
        <v>18</v>
      </c>
      <c r="S84" s="1" t="s">
        <v>251</v>
      </c>
      <c r="T84" t="str">
        <f t="shared" ca="1" si="16"/>
        <v>A New Hope</v>
      </c>
      <c r="U84" s="4" t="str">
        <f t="shared" si="17"/>
        <v>The Force Awakens</v>
      </c>
    </row>
    <row r="85" spans="1:21" ht="15.75" customHeight="1" x14ac:dyDescent="0.25">
      <c r="A85" s="1" t="s">
        <v>253</v>
      </c>
      <c r="B85" s="1" t="s">
        <v>21</v>
      </c>
      <c r="C85" s="1" t="str">
        <f t="shared" si="19"/>
        <v>NA</v>
      </c>
      <c r="D85" s="1" t="str">
        <f t="shared" si="11"/>
        <v>NA</v>
      </c>
      <c r="E85" s="1" t="s">
        <v>21</v>
      </c>
      <c r="F85" s="1" t="str">
        <f t="shared" si="18"/>
        <v>NA</v>
      </c>
      <c r="G85" s="1">
        <f t="shared" si="12"/>
        <v>0</v>
      </c>
      <c r="H85" s="1" t="str">
        <f t="shared" si="1"/>
        <v>33.3300656798353 Less</v>
      </c>
      <c r="I85" s="4">
        <f t="shared" si="13"/>
        <v>60</v>
      </c>
      <c r="J85" s="4" t="str">
        <f t="shared" ca="1" si="14"/>
        <v>NA</v>
      </c>
      <c r="K85" s="5" t="str">
        <f ca="1">IFERROR(TODAY()-$J85, "NA")</f>
        <v>NA</v>
      </c>
      <c r="L85" s="1" t="s">
        <v>36</v>
      </c>
      <c r="M85" s="1" t="s">
        <v>37</v>
      </c>
      <c r="N85" s="1" t="s">
        <v>36</v>
      </c>
      <c r="O85" s="1" t="s">
        <v>21</v>
      </c>
      <c r="P85" s="4" t="b">
        <f t="shared" si="15"/>
        <v>0</v>
      </c>
      <c r="Q85" s="1" t="s">
        <v>21</v>
      </c>
      <c r="R85" s="1" t="s">
        <v>18</v>
      </c>
      <c r="S85" s="1" t="s">
        <v>251</v>
      </c>
      <c r="T85" t="str">
        <f t="shared" ca="1" si="16"/>
        <v>A New Hope</v>
      </c>
      <c r="U85" s="4" t="str">
        <f t="shared" si="17"/>
        <v>The Force Awakens</v>
      </c>
    </row>
    <row r="86" spans="1:21" ht="15.75" customHeight="1" x14ac:dyDescent="0.25">
      <c r="A86" s="1" t="s">
        <v>254</v>
      </c>
      <c r="B86" s="1" t="s">
        <v>21</v>
      </c>
      <c r="C86" s="1" t="str">
        <f t="shared" si="19"/>
        <v>NA</v>
      </c>
      <c r="D86" s="1" t="str">
        <f t="shared" si="11"/>
        <v>NA</v>
      </c>
      <c r="E86" s="1" t="s">
        <v>21</v>
      </c>
      <c r="F86" s="1" t="str">
        <f t="shared" si="18"/>
        <v>NA</v>
      </c>
      <c r="G86" s="1">
        <f t="shared" si="12"/>
        <v>0</v>
      </c>
      <c r="H86" s="1" t="str">
        <f t="shared" si="1"/>
        <v>33.3300656798353 Less</v>
      </c>
      <c r="I86" s="4">
        <f t="shared" si="13"/>
        <v>60</v>
      </c>
      <c r="J86" s="4" t="str">
        <f t="shared" ca="1" si="14"/>
        <v>NA</v>
      </c>
      <c r="K86" s="5" t="str">
        <f ca="1">IFERROR(TODAY()-$J86, "NA")</f>
        <v>NA</v>
      </c>
      <c r="L86" s="1" t="s">
        <v>32</v>
      </c>
      <c r="M86" s="1" t="s">
        <v>32</v>
      </c>
      <c r="N86" s="1" t="s">
        <v>48</v>
      </c>
      <c r="O86" s="1" t="s">
        <v>21</v>
      </c>
      <c r="P86" s="4" t="b">
        <f t="shared" si="15"/>
        <v>0</v>
      </c>
      <c r="Q86" s="1" t="s">
        <v>21</v>
      </c>
      <c r="R86" s="1" t="s">
        <v>24</v>
      </c>
      <c r="S86" s="1" t="s">
        <v>251</v>
      </c>
      <c r="T86" t="str">
        <f t="shared" ca="1" si="16"/>
        <v>A New Hope</v>
      </c>
      <c r="U86" s="4" t="str">
        <f t="shared" si="17"/>
        <v>The Force Awakens</v>
      </c>
    </row>
    <row r="87" spans="1:21" ht="15.75" customHeight="1" x14ac:dyDescent="0.25">
      <c r="A87" s="1" t="s">
        <v>255</v>
      </c>
      <c r="B87" s="1" t="s">
        <v>21</v>
      </c>
      <c r="C87" s="1" t="str">
        <f t="shared" si="19"/>
        <v>NA</v>
      </c>
      <c r="D87" s="1" t="str">
        <f t="shared" si="11"/>
        <v>NA</v>
      </c>
      <c r="E87" s="1" t="s">
        <v>21</v>
      </c>
      <c r="F87" s="1" t="str">
        <f t="shared" si="18"/>
        <v>NA</v>
      </c>
      <c r="G87" s="1">
        <f t="shared" si="12"/>
        <v>0</v>
      </c>
      <c r="H87" s="1" t="str">
        <f t="shared" si="1"/>
        <v>33.3300656798353 Less</v>
      </c>
      <c r="I87" s="4">
        <f t="shared" si="13"/>
        <v>60</v>
      </c>
      <c r="J87" s="4" t="str">
        <f t="shared" ca="1" si="14"/>
        <v>NA</v>
      </c>
      <c r="K87" s="5" t="str">
        <f ca="1">IFERROR(TODAY()-$J87, "NA")</f>
        <v>NA</v>
      </c>
      <c r="L87" s="1" t="s">
        <v>60</v>
      </c>
      <c r="M87" s="1" t="s">
        <v>60</v>
      </c>
      <c r="N87" s="1" t="s">
        <v>60</v>
      </c>
      <c r="O87" s="1" t="s">
        <v>21</v>
      </c>
      <c r="P87" s="4" t="b">
        <f t="shared" si="15"/>
        <v>0</v>
      </c>
      <c r="Q87" s="1" t="s">
        <v>21</v>
      </c>
      <c r="R87" s="1" t="s">
        <v>21</v>
      </c>
      <c r="S87" s="1" t="s">
        <v>251</v>
      </c>
      <c r="T87" t="str">
        <f t="shared" ca="1" si="16"/>
        <v>A New Hope</v>
      </c>
      <c r="U87" s="4" t="str">
        <f t="shared" si="17"/>
        <v>The Force Awakens</v>
      </c>
    </row>
    <row r="88" spans="1:21" ht="15.75" customHeight="1" x14ac:dyDescent="0.25">
      <c r="A88" s="1" t="s">
        <v>256</v>
      </c>
      <c r="B88" s="1">
        <v>165</v>
      </c>
      <c r="C88" s="1">
        <f t="shared" si="19"/>
        <v>1.65</v>
      </c>
      <c r="D88" s="1">
        <f t="shared" si="11"/>
        <v>64.5</v>
      </c>
      <c r="E88" s="1">
        <v>45</v>
      </c>
      <c r="F88" s="1">
        <f t="shared" si="18"/>
        <v>99.25</v>
      </c>
      <c r="G88" s="1">
        <f t="shared" si="12"/>
        <v>16.528925619834713</v>
      </c>
      <c r="H88" s="1" t="str">
        <f t="shared" si="1"/>
        <v>16.8011400600006 Less</v>
      </c>
      <c r="I88" s="4">
        <f t="shared" si="13"/>
        <v>55</v>
      </c>
      <c r="J88" s="4">
        <f t="shared" ca="1" si="14"/>
        <v>16790</v>
      </c>
      <c r="K88" s="5">
        <f ca="1">IFERROR(TODAY()-$J88, "NA")</f>
        <v>29247</v>
      </c>
      <c r="L88" s="1" t="s">
        <v>36</v>
      </c>
      <c r="M88" s="1" t="s">
        <v>37</v>
      </c>
      <c r="N88" s="1" t="s">
        <v>36</v>
      </c>
      <c r="O88" s="1">
        <v>46</v>
      </c>
      <c r="P88" s="4" t="b">
        <f t="shared" si="15"/>
        <v>1</v>
      </c>
      <c r="Q88" s="1" t="s">
        <v>29</v>
      </c>
      <c r="R88" s="1" t="s">
        <v>18</v>
      </c>
      <c r="S88" s="1" t="s">
        <v>54</v>
      </c>
      <c r="T88" t="str">
        <f t="shared" ca="1" si="16"/>
        <v>The Empire Strikes Back</v>
      </c>
      <c r="U88" s="4" t="str">
        <f t="shared" si="17"/>
        <v>Attack of the Clones</v>
      </c>
    </row>
    <row r="89" spans="1:21" ht="15.75" customHeight="1" x14ac:dyDescent="0.25"/>
    <row r="90" spans="1:21" ht="15.75" customHeight="1" x14ac:dyDescent="0.25"/>
    <row r="91" spans="1:21" ht="15.75" customHeight="1" x14ac:dyDescent="0.25">
      <c r="A91" s="7" t="s">
        <v>285</v>
      </c>
      <c r="B91" s="7" t="s">
        <v>283</v>
      </c>
      <c r="C91" s="7" t="s">
        <v>284</v>
      </c>
    </row>
    <row r="92" spans="1:21" ht="15.75" customHeight="1" x14ac:dyDescent="0.25">
      <c r="A92" s="4" t="s">
        <v>272</v>
      </c>
      <c r="B92" s="5">
        <v>36299</v>
      </c>
      <c r="C92">
        <f ca="1">DATEDIF($B92, TODAY(), "D")</f>
        <v>9738</v>
      </c>
      <c r="E92" s="4"/>
      <c r="F92" s="4"/>
    </row>
    <row r="93" spans="1:21" ht="15.75" customHeight="1" x14ac:dyDescent="0.25">
      <c r="A93" s="4" t="s">
        <v>273</v>
      </c>
      <c r="B93" s="5">
        <v>37392</v>
      </c>
      <c r="C93">
        <f t="shared" ref="C93:C98" ca="1" si="20">DATEDIF($B93, TODAY(), "D")</f>
        <v>8645</v>
      </c>
    </row>
    <row r="94" spans="1:21" ht="15.75" customHeight="1" x14ac:dyDescent="0.25">
      <c r="A94" s="4" t="s">
        <v>274</v>
      </c>
      <c r="B94" s="6">
        <v>38491</v>
      </c>
      <c r="C94">
        <f t="shared" ca="1" si="20"/>
        <v>7546</v>
      </c>
    </row>
    <row r="95" spans="1:21" ht="15.75" customHeight="1" x14ac:dyDescent="0.25">
      <c r="A95" s="4" t="s">
        <v>275</v>
      </c>
      <c r="B95" s="6">
        <v>28270</v>
      </c>
      <c r="C95">
        <f t="shared" ca="1" si="20"/>
        <v>17767</v>
      </c>
    </row>
    <row r="96" spans="1:21" ht="15.75" customHeight="1" x14ac:dyDescent="0.25">
      <c r="A96" s="4" t="s">
        <v>276</v>
      </c>
      <c r="B96" s="6">
        <v>29362</v>
      </c>
      <c r="C96">
        <f t="shared" ca="1" si="20"/>
        <v>16675</v>
      </c>
    </row>
    <row r="97" spans="1:3" ht="15.75" customHeight="1" x14ac:dyDescent="0.25">
      <c r="A97" s="4" t="s">
        <v>277</v>
      </c>
      <c r="B97" s="5">
        <v>30461</v>
      </c>
      <c r="C97">
        <f t="shared" ca="1" si="20"/>
        <v>15576</v>
      </c>
    </row>
    <row r="98" spans="1:3" ht="15.75" customHeight="1" x14ac:dyDescent="0.25">
      <c r="A98" s="4" t="s">
        <v>278</v>
      </c>
      <c r="B98" s="6">
        <v>42356</v>
      </c>
      <c r="C98">
        <f t="shared" ca="1" si="20"/>
        <v>3681</v>
      </c>
    </row>
    <row r="99" spans="1:3" ht="15.75" customHeight="1" x14ac:dyDescent="0.25">
      <c r="A99" s="4"/>
      <c r="B99" s="5"/>
    </row>
    <row r="100" spans="1:3" ht="15.75" customHeight="1" x14ac:dyDescent="0.25">
      <c r="A100" s="4"/>
      <c r="B100" s="6"/>
    </row>
    <row r="101" spans="1:3" ht="15.75" customHeight="1" x14ac:dyDescent="0.25"/>
    <row r="102" spans="1:3" ht="15.75" customHeight="1" x14ac:dyDescent="0.25"/>
    <row r="103" spans="1:3" ht="15.75" customHeight="1" x14ac:dyDescent="0.25"/>
    <row r="104" spans="1:3" ht="15.75" customHeight="1" x14ac:dyDescent="0.25"/>
    <row r="105" spans="1:3" ht="15.75" customHeight="1" x14ac:dyDescent="0.25"/>
    <row r="106" spans="1:3" ht="15.75" customHeight="1" x14ac:dyDescent="0.25"/>
    <row r="107" spans="1:3" ht="15.75" customHeight="1" x14ac:dyDescent="0.25"/>
    <row r="108" spans="1:3" ht="15.75" customHeight="1" x14ac:dyDescent="0.25"/>
    <row r="109" spans="1:3" ht="15.75" customHeight="1" x14ac:dyDescent="0.25"/>
    <row r="110" spans="1:3" ht="15.75" customHeight="1" x14ac:dyDescent="0.25"/>
    <row r="111" spans="1:3" ht="15.75" customHeight="1" x14ac:dyDescent="0.25"/>
    <row r="112" spans="1: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C748-F643-4C71-8674-6F8571EF4D1F}">
  <dimension ref="A1:H82"/>
  <sheetViews>
    <sheetView workbookViewId="0">
      <selection activeCell="F11" sqref="F11"/>
    </sheetView>
  </sheetViews>
  <sheetFormatPr defaultRowHeight="15.75" x14ac:dyDescent="0.25"/>
  <cols>
    <col min="1" max="1" width="13.25" customWidth="1"/>
    <col min="2" max="2" width="19.5" customWidth="1"/>
    <col min="6" max="6" width="14.125" customWidth="1"/>
    <col min="7" max="7" width="16.5" customWidth="1"/>
    <col min="8" max="8" width="13.125" customWidth="1"/>
  </cols>
  <sheetData>
    <row r="1" spans="1:8" x14ac:dyDescent="0.25">
      <c r="A1" s="7" t="s">
        <v>288</v>
      </c>
      <c r="B1" s="7" t="s">
        <v>287</v>
      </c>
      <c r="C1" s="7" t="s">
        <v>258</v>
      </c>
    </row>
    <row r="2" spans="1:8" x14ac:dyDescent="0.25">
      <c r="A2">
        <v>1</v>
      </c>
      <c r="B2" t="str" cm="1">
        <f t="array" ref="B2:C82">_xlfn._xlws.SORT(_xlfn._xlws.FILTER(starwars!A2:B88, starwars!B2:B88&lt;&gt;"NA"),2)</f>
        <v>Yoda</v>
      </c>
      <c r="C2">
        <v>66</v>
      </c>
    </row>
    <row r="3" spans="1:8" x14ac:dyDescent="0.25">
      <c r="A3">
        <v>2</v>
      </c>
      <c r="B3" t="str">
        <v>Ratts Tyerell</v>
      </c>
      <c r="C3">
        <v>79</v>
      </c>
      <c r="F3" s="9" t="s">
        <v>292</v>
      </c>
      <c r="G3" s="9"/>
      <c r="H3" s="9"/>
    </row>
    <row r="4" spans="1:8" x14ac:dyDescent="0.25">
      <c r="A4">
        <v>3</v>
      </c>
      <c r="B4" t="str">
        <v>Wicket Systri Warrick</v>
      </c>
      <c r="C4">
        <v>88</v>
      </c>
      <c r="F4" s="7" t="s">
        <v>289</v>
      </c>
      <c r="G4" s="7" t="s">
        <v>290</v>
      </c>
      <c r="H4" s="8" t="s">
        <v>291</v>
      </c>
    </row>
    <row r="5" spans="1:8" x14ac:dyDescent="0.25">
      <c r="A5">
        <v>4</v>
      </c>
      <c r="B5" t="str">
        <v>Dud Bolt</v>
      </c>
      <c r="C5">
        <v>94</v>
      </c>
      <c r="F5">
        <f>SUM(C2:C82)/COUNT(C2:C82)</f>
        <v>174.35802469135803</v>
      </c>
      <c r="G5" cm="1">
        <f t="array" ref="G5">VLOOKUP(IF(ISODD(COUNT(A2:A82)),CEILING(COUNT(A2:A82)/2,1), COUNT(A2:A82/2,1)),A2:C82,3,FALSE)</f>
        <v>180</v>
      </c>
    </row>
    <row r="6" spans="1:8" x14ac:dyDescent="0.25">
      <c r="A6">
        <v>5</v>
      </c>
      <c r="B6" t="str">
        <v>R2-D2</v>
      </c>
      <c r="C6">
        <v>96</v>
      </c>
      <c r="G6" s="1"/>
    </row>
    <row r="7" spans="1:8" x14ac:dyDescent="0.25">
      <c r="A7">
        <v>6</v>
      </c>
      <c r="B7" t="str">
        <v>R4-P17</v>
      </c>
      <c r="C7">
        <v>96</v>
      </c>
    </row>
    <row r="8" spans="1:8" x14ac:dyDescent="0.25">
      <c r="A8">
        <v>7</v>
      </c>
      <c r="B8" t="str">
        <v>R5-D4</v>
      </c>
      <c r="C8">
        <v>97</v>
      </c>
      <c r="G8" s="1"/>
    </row>
    <row r="9" spans="1:8" x14ac:dyDescent="0.25">
      <c r="A9">
        <v>8</v>
      </c>
      <c r="B9" t="str">
        <v>Sebulba</v>
      </c>
      <c r="C9">
        <v>112</v>
      </c>
      <c r="F9" s="9" t="s">
        <v>293</v>
      </c>
      <c r="G9" s="9"/>
      <c r="H9" s="9"/>
    </row>
    <row r="10" spans="1:8" x14ac:dyDescent="0.25">
      <c r="A10">
        <v>9</v>
      </c>
      <c r="B10" t="str">
        <v>Gasgano</v>
      </c>
      <c r="C10">
        <v>122</v>
      </c>
      <c r="F10" s="7" t="s">
        <v>289</v>
      </c>
      <c r="G10" s="7" t="s">
        <v>290</v>
      </c>
      <c r="H10" s="8" t="s">
        <v>291</v>
      </c>
    </row>
    <row r="11" spans="1:8" x14ac:dyDescent="0.25">
      <c r="A11">
        <v>10</v>
      </c>
      <c r="B11" t="str">
        <v>Watto</v>
      </c>
      <c r="C11">
        <v>137</v>
      </c>
    </row>
    <row r="12" spans="1:8" x14ac:dyDescent="0.25">
      <c r="A12">
        <v>11</v>
      </c>
      <c r="B12" t="str">
        <v>Leia Organa</v>
      </c>
      <c r="C12">
        <v>150</v>
      </c>
    </row>
    <row r="13" spans="1:8" x14ac:dyDescent="0.25">
      <c r="A13">
        <v>12</v>
      </c>
      <c r="B13" t="str">
        <v>Mon Mothma</v>
      </c>
      <c r="C13">
        <v>150</v>
      </c>
    </row>
    <row r="14" spans="1:8" x14ac:dyDescent="0.25">
      <c r="A14">
        <v>13</v>
      </c>
      <c r="B14" t="str">
        <v>Cordé</v>
      </c>
      <c r="C14">
        <v>157</v>
      </c>
    </row>
    <row r="15" spans="1:8" x14ac:dyDescent="0.25">
      <c r="A15">
        <v>14</v>
      </c>
      <c r="B15" t="str">
        <v>Nien Nunb</v>
      </c>
      <c r="C15">
        <v>160</v>
      </c>
    </row>
    <row r="16" spans="1:8" x14ac:dyDescent="0.25">
      <c r="A16">
        <v>15</v>
      </c>
      <c r="B16" t="str">
        <v>Shmi Skywalker</v>
      </c>
      <c r="C16">
        <v>163</v>
      </c>
    </row>
    <row r="17" spans="1:6" x14ac:dyDescent="0.25">
      <c r="A17">
        <v>16</v>
      </c>
      <c r="B17" t="str">
        <v>Ben Quadinaros</v>
      </c>
      <c r="C17">
        <v>163</v>
      </c>
      <c r="F17" s="1"/>
    </row>
    <row r="18" spans="1:6" x14ac:dyDescent="0.25">
      <c r="A18">
        <v>17</v>
      </c>
      <c r="B18" t="str">
        <v>Beru Whitesun lars</v>
      </c>
      <c r="C18">
        <v>165</v>
      </c>
    </row>
    <row r="19" spans="1:6" x14ac:dyDescent="0.25">
      <c r="A19">
        <v>18</v>
      </c>
      <c r="B19" t="str">
        <v>Dormé</v>
      </c>
      <c r="C19">
        <v>165</v>
      </c>
    </row>
    <row r="20" spans="1:6" x14ac:dyDescent="0.25">
      <c r="A20">
        <v>19</v>
      </c>
      <c r="B20" t="str">
        <v>Padmé Amidala</v>
      </c>
      <c r="C20">
        <v>165</v>
      </c>
    </row>
    <row r="21" spans="1:6" x14ac:dyDescent="0.25">
      <c r="A21">
        <v>20</v>
      </c>
      <c r="B21" t="str">
        <v>Barriss Offee</v>
      </c>
      <c r="C21">
        <v>166</v>
      </c>
    </row>
    <row r="22" spans="1:6" x14ac:dyDescent="0.25">
      <c r="A22">
        <v>21</v>
      </c>
      <c r="B22" t="str">
        <v>C-3PO</v>
      </c>
      <c r="C22">
        <v>167</v>
      </c>
    </row>
    <row r="23" spans="1:6" x14ac:dyDescent="0.25">
      <c r="A23">
        <v>22</v>
      </c>
      <c r="B23" t="str">
        <v>Jocasta Nu</v>
      </c>
      <c r="C23">
        <v>167</v>
      </c>
    </row>
    <row r="24" spans="1:6" x14ac:dyDescent="0.25">
      <c r="A24">
        <v>23</v>
      </c>
      <c r="B24" t="str">
        <v>Zam Wesell</v>
      </c>
      <c r="C24">
        <v>168</v>
      </c>
    </row>
    <row r="25" spans="1:6" x14ac:dyDescent="0.25">
      <c r="A25">
        <v>24</v>
      </c>
      <c r="B25" t="str">
        <v>Wedge Antilles</v>
      </c>
      <c r="C25">
        <v>170</v>
      </c>
    </row>
    <row r="26" spans="1:6" x14ac:dyDescent="0.25">
      <c r="A26">
        <v>25</v>
      </c>
      <c r="B26" t="str">
        <v>Palpatine</v>
      </c>
      <c r="C26">
        <v>170</v>
      </c>
    </row>
    <row r="27" spans="1:6" x14ac:dyDescent="0.25">
      <c r="A27">
        <v>26</v>
      </c>
      <c r="B27" t="str">
        <v>Finis Valorum</v>
      </c>
      <c r="C27">
        <v>170</v>
      </c>
    </row>
    <row r="28" spans="1:6" x14ac:dyDescent="0.25">
      <c r="A28">
        <v>27</v>
      </c>
      <c r="B28" t="str">
        <v>Luminara Unduli</v>
      </c>
      <c r="C28">
        <v>170</v>
      </c>
    </row>
    <row r="29" spans="1:6" x14ac:dyDescent="0.25">
      <c r="A29">
        <v>28</v>
      </c>
      <c r="B29" t="str">
        <v>Eeth Koth</v>
      </c>
      <c r="C29">
        <v>171</v>
      </c>
    </row>
    <row r="30" spans="1:6" x14ac:dyDescent="0.25">
      <c r="A30">
        <v>29</v>
      </c>
      <c r="B30" t="str">
        <v>Luke Skywalker</v>
      </c>
      <c r="C30">
        <v>172</v>
      </c>
    </row>
    <row r="31" spans="1:6" x14ac:dyDescent="0.25">
      <c r="A31">
        <v>30</v>
      </c>
      <c r="B31" t="str">
        <v>Greedo</v>
      </c>
      <c r="C31">
        <v>173</v>
      </c>
    </row>
    <row r="32" spans="1:6" x14ac:dyDescent="0.25">
      <c r="A32">
        <v>31</v>
      </c>
      <c r="B32" t="str">
        <v>Jabba Desilijic Tiure</v>
      </c>
      <c r="C32">
        <v>175</v>
      </c>
    </row>
    <row r="33" spans="1:3" x14ac:dyDescent="0.25">
      <c r="A33">
        <v>32</v>
      </c>
      <c r="B33" t="str">
        <v>Lobot</v>
      </c>
      <c r="C33">
        <v>175</v>
      </c>
    </row>
    <row r="34" spans="1:3" x14ac:dyDescent="0.25">
      <c r="A34">
        <v>33</v>
      </c>
      <c r="B34" t="str">
        <v>Darth Maul</v>
      </c>
      <c r="C34">
        <v>175</v>
      </c>
    </row>
    <row r="35" spans="1:3" x14ac:dyDescent="0.25">
      <c r="A35">
        <v>34</v>
      </c>
      <c r="B35" t="str">
        <v>Lando Calrissian</v>
      </c>
      <c r="C35">
        <v>177</v>
      </c>
    </row>
    <row r="36" spans="1:3" x14ac:dyDescent="0.25">
      <c r="A36">
        <v>35</v>
      </c>
      <c r="B36" t="str">
        <v>Owen Lars</v>
      </c>
      <c r="C36">
        <v>178</v>
      </c>
    </row>
    <row r="37" spans="1:3" x14ac:dyDescent="0.25">
      <c r="A37">
        <v>36</v>
      </c>
      <c r="B37" t="str">
        <v>Ayla Secura</v>
      </c>
      <c r="C37">
        <v>178</v>
      </c>
    </row>
    <row r="38" spans="1:3" x14ac:dyDescent="0.25">
      <c r="A38">
        <v>37</v>
      </c>
      <c r="B38" t="str">
        <v>Shaak Ti</v>
      </c>
      <c r="C38">
        <v>178</v>
      </c>
    </row>
    <row r="39" spans="1:3" x14ac:dyDescent="0.25">
      <c r="A39">
        <v>38</v>
      </c>
      <c r="B39" t="str">
        <v>Sly Moore</v>
      </c>
      <c r="C39">
        <v>178</v>
      </c>
    </row>
    <row r="40" spans="1:3" x14ac:dyDescent="0.25">
      <c r="A40">
        <v>39</v>
      </c>
      <c r="B40" t="str">
        <v>Wilhuff Tarkin</v>
      </c>
      <c r="C40">
        <v>180</v>
      </c>
    </row>
    <row r="41" spans="1:3" x14ac:dyDescent="0.25">
      <c r="A41">
        <v>40</v>
      </c>
      <c r="B41" t="str">
        <v>Han Solo</v>
      </c>
      <c r="C41">
        <v>180</v>
      </c>
    </row>
    <row r="42" spans="1:3" x14ac:dyDescent="0.25">
      <c r="A42">
        <v>41</v>
      </c>
      <c r="B42" t="str">
        <v>Jek Tono Porkins</v>
      </c>
      <c r="C42">
        <v>180</v>
      </c>
    </row>
    <row r="43" spans="1:3" x14ac:dyDescent="0.25">
      <c r="A43">
        <v>42</v>
      </c>
      <c r="B43" t="str">
        <v>Ackbar</v>
      </c>
      <c r="C43">
        <v>180</v>
      </c>
    </row>
    <row r="44" spans="1:3" x14ac:dyDescent="0.25">
      <c r="A44">
        <v>43</v>
      </c>
      <c r="B44" t="str">
        <v>Bib Fortuna</v>
      </c>
      <c r="C44">
        <v>180</v>
      </c>
    </row>
    <row r="45" spans="1:3" x14ac:dyDescent="0.25">
      <c r="A45">
        <v>44</v>
      </c>
      <c r="B45" t="str">
        <v>Obi-Wan Kenobi</v>
      </c>
      <c r="C45">
        <v>182</v>
      </c>
    </row>
    <row r="46" spans="1:3" x14ac:dyDescent="0.25">
      <c r="A46">
        <v>45</v>
      </c>
      <c r="B46" t="str">
        <v>Biggs Darklighter</v>
      </c>
      <c r="C46">
        <v>183</v>
      </c>
    </row>
    <row r="47" spans="1:3" x14ac:dyDescent="0.25">
      <c r="A47">
        <v>46</v>
      </c>
      <c r="B47" t="str">
        <v>Boba Fett</v>
      </c>
      <c r="C47">
        <v>183</v>
      </c>
    </row>
    <row r="48" spans="1:3" x14ac:dyDescent="0.25">
      <c r="A48">
        <v>47</v>
      </c>
      <c r="B48" t="str">
        <v>Ric Olié</v>
      </c>
      <c r="C48">
        <v>183</v>
      </c>
    </row>
    <row r="49" spans="1:3" x14ac:dyDescent="0.25">
      <c r="A49">
        <v>48</v>
      </c>
      <c r="B49" t="str">
        <v>Quarsh Panaka</v>
      </c>
      <c r="C49">
        <v>183</v>
      </c>
    </row>
    <row r="50" spans="1:3" x14ac:dyDescent="0.25">
      <c r="A50">
        <v>49</v>
      </c>
      <c r="B50" t="str">
        <v>Cliegg Lars</v>
      </c>
      <c r="C50">
        <v>183</v>
      </c>
    </row>
    <row r="51" spans="1:3" x14ac:dyDescent="0.25">
      <c r="A51">
        <v>50</v>
      </c>
      <c r="B51" t="str">
        <v>Poggle the Lesser</v>
      </c>
      <c r="C51">
        <v>183</v>
      </c>
    </row>
    <row r="52" spans="1:3" x14ac:dyDescent="0.25">
      <c r="A52">
        <v>51</v>
      </c>
      <c r="B52" t="str">
        <v>Jango Fett</v>
      </c>
      <c r="C52">
        <v>183</v>
      </c>
    </row>
    <row r="53" spans="1:3" x14ac:dyDescent="0.25">
      <c r="A53">
        <v>52</v>
      </c>
      <c r="B53" t="str">
        <v>Adi Gallia</v>
      </c>
      <c r="C53">
        <v>184</v>
      </c>
    </row>
    <row r="54" spans="1:3" x14ac:dyDescent="0.25">
      <c r="A54">
        <v>53</v>
      </c>
      <c r="B54" t="str">
        <v>Gregar Typho</v>
      </c>
      <c r="C54">
        <v>185</v>
      </c>
    </row>
    <row r="55" spans="1:3" x14ac:dyDescent="0.25">
      <c r="A55">
        <v>54</v>
      </c>
      <c r="B55" t="str">
        <v>Anakin Skywalker</v>
      </c>
      <c r="C55">
        <v>188</v>
      </c>
    </row>
    <row r="56" spans="1:3" x14ac:dyDescent="0.25">
      <c r="A56">
        <v>55</v>
      </c>
      <c r="B56" t="str">
        <v>Mace Windu</v>
      </c>
      <c r="C56">
        <v>188</v>
      </c>
    </row>
    <row r="57" spans="1:3" x14ac:dyDescent="0.25">
      <c r="A57">
        <v>56</v>
      </c>
      <c r="B57" t="str">
        <v>Saesee Tiin</v>
      </c>
      <c r="C57">
        <v>188</v>
      </c>
    </row>
    <row r="58" spans="1:3" x14ac:dyDescent="0.25">
      <c r="A58">
        <v>57</v>
      </c>
      <c r="B58" t="str">
        <v>Plo Koon</v>
      </c>
      <c r="C58">
        <v>188</v>
      </c>
    </row>
    <row r="59" spans="1:3" x14ac:dyDescent="0.25">
      <c r="A59">
        <v>58</v>
      </c>
      <c r="B59" t="str">
        <v>Raymus Antilles</v>
      </c>
      <c r="C59">
        <v>188</v>
      </c>
    </row>
    <row r="60" spans="1:3" x14ac:dyDescent="0.25">
      <c r="A60">
        <v>59</v>
      </c>
      <c r="B60" t="str">
        <v>Bossk</v>
      </c>
      <c r="C60">
        <v>190</v>
      </c>
    </row>
    <row r="61" spans="1:3" x14ac:dyDescent="0.25">
      <c r="A61">
        <v>60</v>
      </c>
      <c r="B61" t="str">
        <v>Nute Gunray</v>
      </c>
      <c r="C61">
        <v>191</v>
      </c>
    </row>
    <row r="62" spans="1:3" x14ac:dyDescent="0.25">
      <c r="A62">
        <v>61</v>
      </c>
      <c r="B62" t="str">
        <v>Bail Prestor Organa</v>
      </c>
      <c r="C62">
        <v>191</v>
      </c>
    </row>
    <row r="63" spans="1:3" x14ac:dyDescent="0.25">
      <c r="A63">
        <v>62</v>
      </c>
      <c r="B63" t="str">
        <v>San Hill</v>
      </c>
      <c r="C63">
        <v>191</v>
      </c>
    </row>
    <row r="64" spans="1:3" x14ac:dyDescent="0.25">
      <c r="A64">
        <v>63</v>
      </c>
      <c r="B64" t="str">
        <v>Qui-Gon Jinn</v>
      </c>
      <c r="C64">
        <v>193</v>
      </c>
    </row>
    <row r="65" spans="1:3" x14ac:dyDescent="0.25">
      <c r="A65">
        <v>64</v>
      </c>
      <c r="B65" t="str">
        <v>Dooku</v>
      </c>
      <c r="C65">
        <v>193</v>
      </c>
    </row>
    <row r="66" spans="1:3" x14ac:dyDescent="0.25">
      <c r="A66">
        <v>65</v>
      </c>
      <c r="B66" t="str">
        <v>Wat Tambor</v>
      </c>
      <c r="C66">
        <v>193</v>
      </c>
    </row>
    <row r="67" spans="1:3" x14ac:dyDescent="0.25">
      <c r="A67">
        <v>66</v>
      </c>
      <c r="B67" t="str">
        <v>Jar Jar Binks</v>
      </c>
      <c r="C67">
        <v>196</v>
      </c>
    </row>
    <row r="68" spans="1:3" x14ac:dyDescent="0.25">
      <c r="A68">
        <v>67</v>
      </c>
      <c r="B68" t="str">
        <v>Kit Fisto</v>
      </c>
      <c r="C68">
        <v>196</v>
      </c>
    </row>
    <row r="69" spans="1:3" x14ac:dyDescent="0.25">
      <c r="A69">
        <v>68</v>
      </c>
      <c r="B69" t="str">
        <v>Mas Amedda</v>
      </c>
      <c r="C69">
        <v>196</v>
      </c>
    </row>
    <row r="70" spans="1:3" x14ac:dyDescent="0.25">
      <c r="A70">
        <v>69</v>
      </c>
      <c r="B70" t="str">
        <v>Ki-Adi-Mundi</v>
      </c>
      <c r="C70">
        <v>198</v>
      </c>
    </row>
    <row r="71" spans="1:3" x14ac:dyDescent="0.25">
      <c r="A71">
        <v>70</v>
      </c>
      <c r="B71" t="str">
        <v>Dexter Jettster</v>
      </c>
      <c r="C71">
        <v>198</v>
      </c>
    </row>
    <row r="72" spans="1:3" x14ac:dyDescent="0.25">
      <c r="A72">
        <v>71</v>
      </c>
      <c r="B72" t="str">
        <v>IG-88</v>
      </c>
      <c r="C72">
        <v>200</v>
      </c>
    </row>
    <row r="73" spans="1:3" x14ac:dyDescent="0.25">
      <c r="A73">
        <v>72</v>
      </c>
      <c r="B73" t="str">
        <v>Darth Vader</v>
      </c>
      <c r="C73">
        <v>202</v>
      </c>
    </row>
    <row r="74" spans="1:3" x14ac:dyDescent="0.25">
      <c r="A74">
        <v>73</v>
      </c>
      <c r="B74" t="str">
        <v>Rugor Nass</v>
      </c>
      <c r="C74">
        <v>206</v>
      </c>
    </row>
    <row r="75" spans="1:3" x14ac:dyDescent="0.25">
      <c r="A75">
        <v>74</v>
      </c>
      <c r="B75" t="str">
        <v>Tion Medon</v>
      </c>
      <c r="C75">
        <v>206</v>
      </c>
    </row>
    <row r="76" spans="1:3" x14ac:dyDescent="0.25">
      <c r="A76">
        <v>75</v>
      </c>
      <c r="B76" t="str">
        <v>Taun We</v>
      </c>
      <c r="C76">
        <v>213</v>
      </c>
    </row>
    <row r="77" spans="1:3" x14ac:dyDescent="0.25">
      <c r="A77">
        <v>76</v>
      </c>
      <c r="B77" t="str">
        <v>Grievous</v>
      </c>
      <c r="C77">
        <v>216</v>
      </c>
    </row>
    <row r="78" spans="1:3" x14ac:dyDescent="0.25">
      <c r="A78">
        <v>77</v>
      </c>
      <c r="B78" t="str">
        <v>Roos Tarpals</v>
      </c>
      <c r="C78">
        <v>224</v>
      </c>
    </row>
    <row r="79" spans="1:3" x14ac:dyDescent="0.25">
      <c r="A79">
        <v>78</v>
      </c>
      <c r="B79" t="str">
        <v>Chewbacca</v>
      </c>
      <c r="C79">
        <v>228</v>
      </c>
    </row>
    <row r="80" spans="1:3" x14ac:dyDescent="0.25">
      <c r="A80">
        <v>79</v>
      </c>
      <c r="B80" t="str">
        <v>Lama Su</v>
      </c>
      <c r="C80">
        <v>229</v>
      </c>
    </row>
    <row r="81" spans="1:3" x14ac:dyDescent="0.25">
      <c r="A81">
        <v>80</v>
      </c>
      <c r="B81" t="str">
        <v>Tarfful</v>
      </c>
      <c r="C81">
        <v>234</v>
      </c>
    </row>
    <row r="82" spans="1:3" x14ac:dyDescent="0.25">
      <c r="A82">
        <v>81</v>
      </c>
      <c r="B82" t="str">
        <v>Yarael Poof</v>
      </c>
      <c r="C82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H17" sqref="H17"/>
    </sheetView>
  </sheetViews>
  <sheetFormatPr defaultColWidth="11.25" defaultRowHeight="15" customHeight="1" x14ac:dyDescent="0.25"/>
  <cols>
    <col min="1" max="1" width="10.375" customWidth="1"/>
    <col min="2" max="2" width="23.75" customWidth="1"/>
    <col min="3" max="26" width="8.5" customWidth="1"/>
  </cols>
  <sheetData>
    <row r="1" spans="1:2" ht="15.75" customHeight="1" x14ac:dyDescent="0.25">
      <c r="A1" s="2" t="s">
        <v>0</v>
      </c>
      <c r="B1" s="3" t="s">
        <v>257</v>
      </c>
    </row>
    <row r="2" spans="1:2" ht="15.75" customHeight="1" x14ac:dyDescent="0.25">
      <c r="A2" s="2" t="s">
        <v>258</v>
      </c>
      <c r="B2" s="3" t="s">
        <v>259</v>
      </c>
    </row>
    <row r="3" spans="1:2" ht="15.75" customHeight="1" x14ac:dyDescent="0.25">
      <c r="A3" s="2" t="s">
        <v>260</v>
      </c>
      <c r="B3" s="3" t="s">
        <v>261</v>
      </c>
    </row>
    <row r="4" spans="1:2" ht="15.75" customHeight="1" x14ac:dyDescent="0.25">
      <c r="A4" s="2" t="s">
        <v>6</v>
      </c>
      <c r="B4" s="3" t="s">
        <v>262</v>
      </c>
    </row>
    <row r="5" spans="1:2" ht="15.75" customHeight="1" x14ac:dyDescent="0.25">
      <c r="A5" s="2" t="s">
        <v>7</v>
      </c>
      <c r="B5" s="3" t="s">
        <v>263</v>
      </c>
    </row>
    <row r="6" spans="1:2" ht="15.75" customHeight="1" x14ac:dyDescent="0.25">
      <c r="A6" s="2" t="s">
        <v>8</v>
      </c>
      <c r="B6" s="3" t="s">
        <v>264</v>
      </c>
    </row>
    <row r="7" spans="1:2" ht="15.75" customHeight="1" x14ac:dyDescent="0.25">
      <c r="A7" s="2" t="s">
        <v>9</v>
      </c>
      <c r="B7" s="3" t="s">
        <v>265</v>
      </c>
    </row>
    <row r="8" spans="1:2" ht="15.75" customHeight="1" x14ac:dyDescent="0.25">
      <c r="A8" s="2" t="s">
        <v>10</v>
      </c>
      <c r="B8" s="3" t="s">
        <v>266</v>
      </c>
    </row>
    <row r="9" spans="1:2" ht="15.75" customHeight="1" x14ac:dyDescent="0.25">
      <c r="A9" s="2" t="s">
        <v>11</v>
      </c>
      <c r="B9" s="3" t="s">
        <v>267</v>
      </c>
    </row>
    <row r="10" spans="1:2" ht="15.75" customHeight="1" x14ac:dyDescent="0.25">
      <c r="A10" s="2" t="s">
        <v>12</v>
      </c>
      <c r="B10" s="3" t="s">
        <v>268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starwars</vt:lpstr>
      <vt:lpstr>otherwars</vt:lpstr>
      <vt:lpstr>data_dictionary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</cp:lastModifiedBy>
  <dcterms:created xsi:type="dcterms:W3CDTF">2026-01-14T16:06:25Z</dcterms:created>
  <dcterms:modified xsi:type="dcterms:W3CDTF">2026-01-15T20:04:19Z</dcterms:modified>
</cp:coreProperties>
</file>