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olognaColonel\workspace\excel\data\"/>
    </mc:Choice>
  </mc:AlternateContent>
  <xr:revisionPtr revIDLastSave="0" documentId="13_ncr:1_{1B54ED55-C6CB-45E0-8AC2-3C0E9695CEE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tarwars" sheetId="1" r:id="rId1"/>
    <sheet name="data_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" i="1" l="1"/>
  <c r="B99" i="1"/>
  <c r="B98" i="1"/>
  <c r="B97" i="1"/>
  <c r="B95" i="1"/>
  <c r="B94" i="1"/>
  <c r="B93" i="1"/>
  <c r="B92" i="1"/>
  <c r="E88" i="1"/>
  <c r="C88" i="1"/>
  <c r="C87" i="1"/>
  <c r="E87" i="1" s="1"/>
  <c r="C86" i="1"/>
  <c r="E86" i="1" s="1"/>
  <c r="C85" i="1"/>
  <c r="E85" i="1" s="1"/>
  <c r="C84" i="1"/>
  <c r="E84" i="1" s="1"/>
  <c r="C83" i="1"/>
  <c r="E83" i="1" s="1"/>
  <c r="C82" i="1"/>
  <c r="E82" i="1" s="1"/>
  <c r="C81" i="1"/>
  <c r="E81" i="1" s="1"/>
  <c r="C80" i="1"/>
  <c r="E80" i="1" s="1"/>
  <c r="F80" i="1" s="1"/>
  <c r="C79" i="1"/>
  <c r="E79" i="1" s="1"/>
  <c r="C78" i="1"/>
  <c r="E78" i="1" s="1"/>
  <c r="C77" i="1"/>
  <c r="E77" i="1" s="1"/>
  <c r="C76" i="1"/>
  <c r="E76" i="1" s="1"/>
  <c r="C75" i="1"/>
  <c r="E75" i="1" s="1"/>
  <c r="F75" i="1" s="1"/>
  <c r="C74" i="1"/>
  <c r="E74" i="1" s="1"/>
  <c r="F74" i="1" s="1"/>
  <c r="C73" i="1"/>
  <c r="E73" i="1" s="1"/>
  <c r="C72" i="1"/>
  <c r="E72" i="1" s="1"/>
  <c r="F72" i="1" s="1"/>
  <c r="C71" i="1"/>
  <c r="E71" i="1" s="1"/>
  <c r="F71" i="1" s="1"/>
  <c r="C70" i="1"/>
  <c r="E70" i="1" s="1"/>
  <c r="C69" i="1"/>
  <c r="E69" i="1" s="1"/>
  <c r="C68" i="1"/>
  <c r="E68" i="1" s="1"/>
  <c r="F68" i="1" s="1"/>
  <c r="C67" i="1"/>
  <c r="E67" i="1" s="1"/>
  <c r="C66" i="1"/>
  <c r="E66" i="1" s="1"/>
  <c r="C65" i="1"/>
  <c r="E65" i="1" s="1"/>
  <c r="C64" i="1"/>
  <c r="E64" i="1" s="1"/>
  <c r="F64" i="1" s="1"/>
  <c r="C63" i="1"/>
  <c r="E63" i="1" s="1"/>
  <c r="F63" i="1" s="1"/>
  <c r="C62" i="1"/>
  <c r="E62" i="1" s="1"/>
  <c r="F62" i="1" s="1"/>
  <c r="C61" i="1"/>
  <c r="E61" i="1" s="1"/>
  <c r="F61" i="1" s="1"/>
  <c r="C60" i="1"/>
  <c r="E60" i="1" s="1"/>
  <c r="F60" i="1" s="1"/>
  <c r="C59" i="1"/>
  <c r="E59" i="1" s="1"/>
  <c r="F59" i="1" s="1"/>
  <c r="C58" i="1"/>
  <c r="E58" i="1" s="1"/>
  <c r="C57" i="1"/>
  <c r="E57" i="1" s="1"/>
  <c r="C56" i="1"/>
  <c r="E56" i="1" s="1"/>
  <c r="F56" i="1" s="1"/>
  <c r="C55" i="1"/>
  <c r="E55" i="1" s="1"/>
  <c r="C54" i="1"/>
  <c r="E54" i="1" s="1"/>
  <c r="F54" i="1" s="1"/>
  <c r="C53" i="1"/>
  <c r="E53" i="1" s="1"/>
  <c r="C52" i="1"/>
  <c r="E52" i="1" s="1"/>
  <c r="F52" i="1" s="1"/>
  <c r="C51" i="1"/>
  <c r="E51" i="1" s="1"/>
  <c r="F51" i="1" s="1"/>
  <c r="C50" i="1"/>
  <c r="E50" i="1" s="1"/>
  <c r="F50" i="1" s="1"/>
  <c r="C49" i="1"/>
  <c r="E49" i="1" s="1"/>
  <c r="F49" i="1" s="1"/>
  <c r="C48" i="1"/>
  <c r="E48" i="1" s="1"/>
  <c r="F48" i="1" s="1"/>
  <c r="C47" i="1"/>
  <c r="E47" i="1" s="1"/>
  <c r="F47" i="1" s="1"/>
  <c r="C46" i="1"/>
  <c r="E46" i="1" s="1"/>
  <c r="C45" i="1"/>
  <c r="E45" i="1" s="1"/>
  <c r="C44" i="1"/>
  <c r="E44" i="1" s="1"/>
  <c r="F44" i="1" s="1"/>
  <c r="C43" i="1"/>
  <c r="E43" i="1" s="1"/>
  <c r="C42" i="1"/>
  <c r="E42" i="1" s="1"/>
  <c r="F42" i="1" s="1"/>
  <c r="C41" i="1"/>
  <c r="E41" i="1" s="1"/>
  <c r="C40" i="1"/>
  <c r="E40" i="1" s="1"/>
  <c r="F40" i="1" s="1"/>
  <c r="C39" i="1"/>
  <c r="E39" i="1" s="1"/>
  <c r="F39" i="1" s="1"/>
  <c r="C38" i="1"/>
  <c r="E38" i="1" s="1"/>
  <c r="F38" i="1" s="1"/>
  <c r="C37" i="1"/>
  <c r="E37" i="1" s="1"/>
  <c r="F37" i="1" s="1"/>
  <c r="C36" i="1"/>
  <c r="E36" i="1" s="1"/>
  <c r="F36" i="1" s="1"/>
  <c r="C35" i="1"/>
  <c r="E35" i="1" s="1"/>
  <c r="F35" i="1" s="1"/>
  <c r="C34" i="1"/>
  <c r="E34" i="1" s="1"/>
  <c r="C33" i="1"/>
  <c r="E33" i="1" s="1"/>
  <c r="C32" i="1"/>
  <c r="E32" i="1" s="1"/>
  <c r="F32" i="1" s="1"/>
  <c r="C31" i="1"/>
  <c r="E31" i="1" s="1"/>
  <c r="C30" i="1"/>
  <c r="E30" i="1" s="1"/>
  <c r="F30" i="1" s="1"/>
  <c r="C29" i="1"/>
  <c r="E29" i="1" s="1"/>
  <c r="C28" i="1"/>
  <c r="E28" i="1" s="1"/>
  <c r="F28" i="1" s="1"/>
  <c r="C27" i="1"/>
  <c r="E27" i="1" s="1"/>
  <c r="F27" i="1" s="1"/>
  <c r="C26" i="1"/>
  <c r="E26" i="1" s="1"/>
  <c r="F26" i="1" s="1"/>
  <c r="C25" i="1"/>
  <c r="E25" i="1" s="1"/>
  <c r="F25" i="1" s="1"/>
  <c r="C24" i="1"/>
  <c r="E24" i="1" s="1"/>
  <c r="F24" i="1" s="1"/>
  <c r="C23" i="1"/>
  <c r="E23" i="1" s="1"/>
  <c r="F23" i="1" s="1"/>
  <c r="C22" i="1"/>
  <c r="E22" i="1" s="1"/>
  <c r="C21" i="1"/>
  <c r="E21" i="1" s="1"/>
  <c r="C20" i="1"/>
  <c r="E20" i="1" s="1"/>
  <c r="F20" i="1" s="1"/>
  <c r="C19" i="1"/>
  <c r="E19" i="1" s="1"/>
  <c r="F19" i="1" s="1"/>
  <c r="C18" i="1"/>
  <c r="E18" i="1" s="1"/>
  <c r="F18" i="1" s="1"/>
  <c r="C17" i="1"/>
  <c r="E17" i="1" s="1"/>
  <c r="C16" i="1"/>
  <c r="E16" i="1" s="1"/>
  <c r="F16" i="1" s="1"/>
  <c r="C15" i="1"/>
  <c r="E15" i="1" s="1"/>
  <c r="F15" i="1" s="1"/>
  <c r="C14" i="1"/>
  <c r="E14" i="1" s="1"/>
  <c r="F14" i="1" s="1"/>
  <c r="C13" i="1"/>
  <c r="E13" i="1" s="1"/>
  <c r="F13" i="1" s="1"/>
  <c r="C12" i="1"/>
  <c r="E12" i="1" s="1"/>
  <c r="F12" i="1" s="1"/>
  <c r="C11" i="1"/>
  <c r="E11" i="1" s="1"/>
  <c r="F11" i="1" s="1"/>
  <c r="C10" i="1"/>
  <c r="E10" i="1" s="1"/>
  <c r="C9" i="1"/>
  <c r="E9" i="1" s="1"/>
  <c r="F9" i="1" s="1"/>
  <c r="C8" i="1"/>
  <c r="E8" i="1" s="1"/>
  <c r="F8" i="1" s="1"/>
  <c r="C7" i="1"/>
  <c r="E7" i="1" s="1"/>
  <c r="F7" i="1" s="1"/>
  <c r="C6" i="1"/>
  <c r="E6" i="1" s="1"/>
  <c r="F6" i="1" s="1"/>
  <c r="C5" i="1"/>
  <c r="E5" i="1" s="1"/>
  <c r="F5" i="1" s="1"/>
  <c r="C4" i="1"/>
  <c r="E4" i="1" s="1"/>
  <c r="F4" i="1" s="1"/>
  <c r="C3" i="1"/>
  <c r="E3" i="1" s="1"/>
  <c r="F3" i="1" s="1"/>
  <c r="C2" i="1"/>
  <c r="E2" i="1" s="1"/>
  <c r="F2" i="1" s="1"/>
  <c r="F86" i="1" l="1"/>
  <c r="F87" i="1"/>
  <c r="F76" i="1"/>
  <c r="F17" i="1"/>
  <c r="F29" i="1"/>
  <c r="F41" i="1"/>
  <c r="F53" i="1"/>
  <c r="F65" i="1"/>
  <c r="F77" i="1"/>
  <c r="F88" i="1"/>
  <c r="F66" i="1"/>
  <c r="F78" i="1"/>
  <c r="F31" i="1"/>
  <c r="F43" i="1"/>
  <c r="F55" i="1"/>
  <c r="F67" i="1"/>
  <c r="F79" i="1"/>
  <c r="F33" i="1"/>
  <c r="F57" i="1"/>
  <c r="F69" i="1"/>
  <c r="F81" i="1"/>
  <c r="F21" i="1"/>
  <c r="F45" i="1"/>
  <c r="F10" i="1"/>
  <c r="F22" i="1"/>
  <c r="F34" i="1"/>
  <c r="F46" i="1"/>
  <c r="F58" i="1"/>
  <c r="F70" i="1"/>
  <c r="F82" i="1"/>
  <c r="F83" i="1"/>
  <c r="F84" i="1"/>
  <c r="F73" i="1"/>
  <c r="F85" i="1"/>
</calcChain>
</file>

<file path=xl/sharedStrings.xml><?xml version="1.0" encoding="utf-8"?>
<sst xmlns="http://schemas.openxmlformats.org/spreadsheetml/2006/main" count="729" uniqueCount="278">
  <si>
    <t>name</t>
  </si>
  <si>
    <t>height_cm</t>
  </si>
  <si>
    <t>height_m</t>
  </si>
  <si>
    <t>mass_kg</t>
  </si>
  <si>
    <t>BMI</t>
  </si>
  <si>
    <t>compare_BMI_DV column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</si>
  <si>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</si>
  <si>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</si>
  <si>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</si>
  <si>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</si>
  <si>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</si>
  <si>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</si>
  <si>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</si>
  <si>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</si>
  <si>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</si>
  <si>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</si>
  <si>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</si>
  <si>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</si>
  <si>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</si>
  <si>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</si>
  <si>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</si>
  <si>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</si>
  <si>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</si>
  <si>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</si>
  <si>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</si>
  <si>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</si>
  <si>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</si>
  <si>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</si>
  <si>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</si>
  <si>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</si>
  <si>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</si>
  <si>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</si>
  <si>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</si>
  <si>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</si>
  <si>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</si>
  <si>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</si>
  <si>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</si>
  <si>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</si>
  <si>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</si>
  <si>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</si>
  <si>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</si>
  <si>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</si>
  <si>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</si>
  <si>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</si>
  <si>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</si>
  <si>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</si>
  <si>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</si>
  <si>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</si>
  <si>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</si>
  <si>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</si>
  <si>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</si>
  <si>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</si>
  <si>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</si>
  <si>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</si>
  <si>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</si>
  <si>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</si>
  <si>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</si>
  <si>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</si>
  <si>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</si>
  <si>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</si>
  <si>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</si>
  <si>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</si>
  <si>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</si>
  <si>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</si>
  <si>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</si>
  <si>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</si>
  <si>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</si>
  <si>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</si>
  <si>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</si>
  <si>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</si>
  <si>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</si>
  <si>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</si>
  <si>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</si>
  <si>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</si>
  <si>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</si>
  <si>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</si>
  <si>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</si>
  <si>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</si>
  <si>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</si>
  <si>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</si>
  <si>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</si>
  <si>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</si>
  <si>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</si>
  <si>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</si>
  <si>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</si>
  <si>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</si>
  <si>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</si>
  <si>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</si>
  <si>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</si>
  <si>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</si>
  <si>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</si>
  <si>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</si>
  <si>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</si>
  <si>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</si>
  <si>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</si>
  <si>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</si>
  <si>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</si>
  <si>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</si>
  <si>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</si>
  <si>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</si>
  <si>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</si>
  <si>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</si>
  <si>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</si>
  <si>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</si>
  <si>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</si>
  <si>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</si>
  <si>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</si>
  <si>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</si>
  <si>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</si>
  <si>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</si>
  <si>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</si>
  <si>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</si>
  <si>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</si>
  <si>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</si>
  <si>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</si>
  <si>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</si>
  <si>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</si>
  <si>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</si>
  <si>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</si>
  <si>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</si>
  <si>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</si>
  <si>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</si>
  <si>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</si>
  <si>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</si>
  <si>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</si>
  <si>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</si>
  <si>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</si>
  <si>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</si>
  <si>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</si>
  <si>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</si>
  <si>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</si>
  <si>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</si>
  <si>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</si>
  <si>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</si>
  <si>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</si>
  <si>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</si>
  <si>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</si>
  <si>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</si>
  <si>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</si>
  <si>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</si>
  <si>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</si>
  <si>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</si>
  <si>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</si>
  <si>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</si>
  <si>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</si>
  <si>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</si>
  <si>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</si>
  <si>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</si>
  <si>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</si>
  <si>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</si>
  <si>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</si>
  <si>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</si>
  <si>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</si>
  <si>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</si>
  <si>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</si>
  <si>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</si>
  <si>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</si>
  <si>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</si>
  <si>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</si>
  <si>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</si>
  <si>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</si>
  <si>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</si>
  <si>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</si>
  <si>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</si>
  <si>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</si>
  <si>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</si>
  <si>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</si>
  <si>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</si>
  <si>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</si>
  <si>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</si>
  <si>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</si>
  <si>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</si>
  <si>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</si>
  <si>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</si>
  <si>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</si>
  <si>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</si>
  <si>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</si>
  <si>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</si>
  <si>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</si>
  <si>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</si>
  <si>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</si>
  <si>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</si>
  <si>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</si>
  <si>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</si>
  <si>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</si>
  <si>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</si>
  <si>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</si>
  <si>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</si>
  <si>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</si>
  <si>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</si>
  <si>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</si>
  <si>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</si>
  <si>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</si>
  <si>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</si>
  <si>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</si>
  <si>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</si>
  <si>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</si>
  <si>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</si>
  <si>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</si>
  <si>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</si>
  <si>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</si>
  <si>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</si>
  <si>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</si>
  <si>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</si>
  <si>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</si>
  <si>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</si>
  <si>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</si>
  <si>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</si>
  <si>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</si>
  <si>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</si>
  <si>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</si>
  <si>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</si>
  <si>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</si>
  <si>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</si>
  <si>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</si>
  <si>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</si>
  <si>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</si>
  <si>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</si>
  <si>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</si>
  <si>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</si>
  <si>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</si>
  <si>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</si>
  <si>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</si>
  <si>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</si>
  <si>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</si>
  <si>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</si>
  <si>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</si>
  <si>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</si>
  <si>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</si>
  <si>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</si>
  <si>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</si>
  <si>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</si>
  <si>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</si>
  <si>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</si>
  <si>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</si>
  <si>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</si>
  <si>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</si>
  <si>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</si>
  <si>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</si>
  <si>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</si>
  <si>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</si>
  <si>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</si>
  <si>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</si>
  <si>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</si>
  <si>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</si>
  <si>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</si>
  <si>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</si>
  <si>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</si>
  <si>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</si>
  <si>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</si>
  <si>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</si>
  <si>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</si>
  <si>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</si>
  <si>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</si>
  <si>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</si>
  <si>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</si>
  <si>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</si>
  <si>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test stuff</t>
  </si>
  <si>
    <t>b2 * c2</t>
  </si>
  <si>
    <t>b3 * c3</t>
  </si>
  <si>
    <t>b4 * c4</t>
  </si>
  <si>
    <t>b5 * c5</t>
  </si>
  <si>
    <t>b2 * c2 absolute</t>
  </si>
  <si>
    <t>b3 * c3 absolute</t>
  </si>
  <si>
    <t>b4 * c4 absolute</t>
  </si>
  <si>
    <t>b5 * c5 absolute</t>
  </si>
  <si>
    <t>The character's name</t>
  </si>
  <si>
    <t>height</t>
  </si>
  <si>
    <t>Height in cm, NA if unknown</t>
  </si>
  <si>
    <t>mass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</si>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</sst>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21"/>
      <color rgb="FFFFFF00"/>
      <name val="Calibri"/>
      <scheme val="minor"/>
    </font>
    <font>
      <sz val="12"/>
      <color rgb="FFFFFF00"/>
      <name val="Calibri"/>
      <scheme val="minor"/>
    </font>
    <font>
      <sz val="12"/>
      <color rgb="FF000000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/>
  </sheetViews>
  <sheetFormatPr defaultColWidth="11.25" defaultRowHeight="15" customHeight="1" x14ac:dyDescent="0.25"/>
  <cols>
    <col min="1" max="1" width="18.375" customWidth="1"/>
    <col min="2" max="2" width="11.125" customWidth="1"/>
    <col min="3" max="3" width="12.625" customWidth="1"/>
    <col min="4" max="4" width="9.25" customWidth="1"/>
    <col min="5" max="5" width="13" customWidth="1"/>
    <col min="6" max="6" width="21.5" customWidth="1"/>
    <col min="7" max="11" width="11" customWidth="1"/>
    <col min="12" max="12" width="12.5" customWidth="1"/>
    <col min="13" max="13" width="125.25" customWidth="1"/>
    <col min="14" max="29" width="11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5">
      <c r="A2" s="1" t="s">
        <v>13</v>
      </c>
      <c r="B2" s="1">
        <v>172</v>
      </c>
      <c r="C2" s="1">
        <f t="shared" ref="C2:C88" si="0">IFERROR(B2/100, "No Height Data")</f>
        <v>1.72</v>
      </c>
      <c r="D2" s="1">
        <v>77</v>
      </c>
      <c r="E2" s="1">
        <f t="shared" ref="E2:E88" si="1">IFERROR(D2/(C2^2), "not enough data")</f>
        <v>26.027582477014604</v>
      </c>
      <c r="F2" s="1" t="str">
        <f t="shared" ref="F2:F88" si="2">IFERROR(IF(E2-$E$5&lt;0,ABS(E2-$E$5)&amp;" Less", E2-$E$5&amp;" More"), "not enough data")</f>
        <v>7.3024832028207 Less</v>
      </c>
      <c r="G2" s="1" t="s">
        <v>14</v>
      </c>
      <c r="H2" s="1" t="s">
        <v>15</v>
      </c>
      <c r="I2" s="1" t="s">
        <v>16</v>
      </c>
      <c r="J2" s="1">
        <v>19</v>
      </c>
      <c r="K2" s="1" t="s">
        <v>17</v>
      </c>
      <c r="L2" s="1" t="s">
        <v>18</v>
      </c>
      <c r="M2" s="1" t="s">
        <v>19</v>
      </c>
    </row>
    <row r="3" spans="1:13" ht="15.75" customHeight="1" x14ac:dyDescent="0.25">
      <c r="A3" s="1" t="s">
        <v>20</v>
      </c>
      <c r="B3" s="1">
        <v>167</v>
      </c>
      <c r="C3" s="1">
        <f t="shared" si="0"/>
        <v>1.67</v>
      </c>
      <c r="D3" s="1">
        <v>75</v>
      </c>
      <c r="E3" s="1">
        <f t="shared" si="1"/>
        <v>26.892323138154829</v>
      </c>
      <c r="F3" s="1" t="str">
        <f t="shared" si="2"/>
        <v>6.43774254168048 Less</v>
      </c>
      <c r="G3" s="1" t="s">
        <v>21</v>
      </c>
      <c r="H3" s="1" t="s">
        <v>22</v>
      </c>
      <c r="I3" s="1" t="s">
        <v>23</v>
      </c>
      <c r="J3" s="1">
        <v>112</v>
      </c>
      <c r="K3" s="1" t="s">
        <v>17</v>
      </c>
      <c r="L3" s="1" t="s">
        <v>24</v>
      </c>
      <c r="M3" s="1" t="s">
        <v>25</v>
      </c>
    </row>
    <row r="4" spans="1:13" ht="15.75" customHeight="1" x14ac:dyDescent="0.25">
      <c r="A4" s="1" t="s">
        <v>26</v>
      </c>
      <c r="B4" s="1">
        <v>96</v>
      </c>
      <c r="C4" s="1">
        <f t="shared" si="0"/>
        <v>0.96</v>
      </c>
      <c r="D4" s="1">
        <v>32</v>
      </c>
      <c r="E4" s="1">
        <f t="shared" si="1"/>
        <v>34.722222222222221</v>
      </c>
      <c r="F4" s="1" t="str">
        <f t="shared" si="2"/>
        <v>1.39215654238691 More</v>
      </c>
      <c r="G4" s="1" t="s">
        <v>21</v>
      </c>
      <c r="H4" s="1" t="s">
        <v>27</v>
      </c>
      <c r="I4" s="1" t="s">
        <v>28</v>
      </c>
      <c r="J4" s="1">
        <v>33</v>
      </c>
      <c r="K4" s="1" t="s">
        <v>29</v>
      </c>
      <c r="L4" s="1" t="s">
        <v>24</v>
      </c>
      <c r="M4" s="1" t="s">
        <v>30</v>
      </c>
    </row>
    <row r="5" spans="1:13" ht="15.75" customHeight="1" x14ac:dyDescent="0.25">
      <c r="A5" s="1" t="s">
        <v>31</v>
      </c>
      <c r="B5" s="1">
        <v>202</v>
      </c>
      <c r="C5" s="1">
        <f t="shared" si="0"/>
        <v>2.02</v>
      </c>
      <c r="D5" s="1">
        <v>136</v>
      </c>
      <c r="E5" s="1">
        <f t="shared" si="1"/>
        <v>33.330065679835307</v>
      </c>
      <c r="F5" s="1" t="str">
        <f t="shared" si="2"/>
        <v>0 More</v>
      </c>
      <c r="G5" s="1" t="s">
        <v>32</v>
      </c>
      <c r="H5" s="1" t="s">
        <v>33</v>
      </c>
      <c r="I5" s="1" t="s">
        <v>23</v>
      </c>
      <c r="J5" s="1">
        <v>41.9</v>
      </c>
      <c r="K5" s="1" t="s">
        <v>17</v>
      </c>
      <c r="L5" s="1" t="s">
        <v>18</v>
      </c>
      <c r="M5" s="1" t="s">
        <v>34</v>
      </c>
    </row>
    <row r="6" spans="1:13" ht="15.75" customHeight="1" x14ac:dyDescent="0.25">
      <c r="A6" s="1" t="s">
        <v>35</v>
      </c>
      <c r="B6" s="1">
        <v>150</v>
      </c>
      <c r="C6" s="1">
        <f t="shared" si="0"/>
        <v>1.5</v>
      </c>
      <c r="D6" s="1">
        <v>49</v>
      </c>
      <c r="E6" s="1">
        <f t="shared" si="1"/>
        <v>21.777777777777779</v>
      </c>
      <c r="F6" s="1" t="str">
        <f t="shared" si="2"/>
        <v>11.5522879020575 Less</v>
      </c>
      <c r="G6" s="1" t="s">
        <v>36</v>
      </c>
      <c r="H6" s="1" t="s">
        <v>37</v>
      </c>
      <c r="I6" s="1" t="s">
        <v>36</v>
      </c>
      <c r="J6" s="1">
        <v>19</v>
      </c>
      <c r="K6" s="1" t="s">
        <v>38</v>
      </c>
      <c r="L6" s="1" t="s">
        <v>18</v>
      </c>
      <c r="M6" s="1" t="s">
        <v>39</v>
      </c>
    </row>
    <row r="7" spans="1:13" ht="15.75" customHeight="1" x14ac:dyDescent="0.25">
      <c r="A7" s="1" t="s">
        <v>40</v>
      </c>
      <c r="B7" s="1">
        <v>178</v>
      </c>
      <c r="C7" s="1">
        <f t="shared" si="0"/>
        <v>1.78</v>
      </c>
      <c r="D7" s="1">
        <v>120</v>
      </c>
      <c r="E7" s="1">
        <f t="shared" si="1"/>
        <v>37.874005807347558</v>
      </c>
      <c r="F7" s="1" t="str">
        <f t="shared" si="2"/>
        <v>4.54394012751225 More</v>
      </c>
      <c r="G7" s="1" t="s">
        <v>41</v>
      </c>
      <c r="H7" s="1" t="s">
        <v>37</v>
      </c>
      <c r="I7" s="1" t="s">
        <v>16</v>
      </c>
      <c r="J7" s="1">
        <v>52</v>
      </c>
      <c r="K7" s="1" t="s">
        <v>17</v>
      </c>
      <c r="L7" s="1" t="s">
        <v>18</v>
      </c>
      <c r="M7" s="1" t="s">
        <v>42</v>
      </c>
    </row>
    <row r="8" spans="1:13" ht="15.75" customHeight="1" x14ac:dyDescent="0.25">
      <c r="A8" s="1" t="s">
        <v>43</v>
      </c>
      <c r="B8" s="1">
        <v>165</v>
      </c>
      <c r="C8" s="1">
        <f t="shared" si="0"/>
        <v>1.65</v>
      </c>
      <c r="D8" s="1">
        <v>75</v>
      </c>
      <c r="E8" s="1">
        <f t="shared" si="1"/>
        <v>27.548209366391188</v>
      </c>
      <c r="F8" s="1" t="str">
        <f t="shared" si="2"/>
        <v>5.78185631344412 Less</v>
      </c>
      <c r="G8" s="1" t="s">
        <v>36</v>
      </c>
      <c r="H8" s="1" t="s">
        <v>37</v>
      </c>
      <c r="I8" s="1" t="s">
        <v>16</v>
      </c>
      <c r="J8" s="1">
        <v>47</v>
      </c>
      <c r="K8" s="1" t="s">
        <v>17</v>
      </c>
      <c r="L8" s="1" t="s">
        <v>18</v>
      </c>
      <c r="M8" s="1" t="s">
        <v>42</v>
      </c>
    </row>
    <row r="9" spans="1:13" ht="15.75" customHeight="1" x14ac:dyDescent="0.25">
      <c r="A9" s="1" t="s">
        <v>44</v>
      </c>
      <c r="B9" s="1">
        <v>97</v>
      </c>
      <c r="C9" s="1">
        <f t="shared" si="0"/>
        <v>0.97</v>
      </c>
      <c r="D9" s="1">
        <v>32</v>
      </c>
      <c r="E9" s="1">
        <f t="shared" si="1"/>
        <v>34.009990434690195</v>
      </c>
      <c r="F9" s="1" t="str">
        <f t="shared" si="2"/>
        <v>0.679924754854888 More</v>
      </c>
      <c r="G9" s="1" t="s">
        <v>21</v>
      </c>
      <c r="H9" s="1" t="s">
        <v>45</v>
      </c>
      <c r="I9" s="1" t="s">
        <v>28</v>
      </c>
      <c r="J9" s="1" t="s">
        <v>21</v>
      </c>
      <c r="K9" s="1" t="s">
        <v>17</v>
      </c>
      <c r="L9" s="1" t="s">
        <v>24</v>
      </c>
      <c r="M9" s="1" t="s">
        <v>46</v>
      </c>
    </row>
    <row r="10" spans="1:13" ht="15.75" customHeight="1" x14ac:dyDescent="0.25">
      <c r="A10" s="1" t="s">
        <v>47</v>
      </c>
      <c r="B10" s="1">
        <v>183</v>
      </c>
      <c r="C10" s="1">
        <f t="shared" si="0"/>
        <v>1.83</v>
      </c>
      <c r="D10" s="1">
        <v>84</v>
      </c>
      <c r="E10" s="1">
        <f t="shared" si="1"/>
        <v>25.082863029651524</v>
      </c>
      <c r="F10" s="1" t="str">
        <f t="shared" si="2"/>
        <v>8.24720265018378 Less</v>
      </c>
      <c r="G10" s="1" t="s">
        <v>48</v>
      </c>
      <c r="H10" s="1" t="s">
        <v>37</v>
      </c>
      <c r="I10" s="1" t="s">
        <v>36</v>
      </c>
      <c r="J10" s="1">
        <v>24</v>
      </c>
      <c r="K10" s="1" t="s">
        <v>17</v>
      </c>
      <c r="L10" s="1" t="s">
        <v>18</v>
      </c>
      <c r="M10" s="1" t="s">
        <v>46</v>
      </c>
    </row>
    <row r="11" spans="1:13" ht="15.75" customHeight="1" x14ac:dyDescent="0.25">
      <c r="A11" s="1" t="s">
        <v>49</v>
      </c>
      <c r="B11" s="1">
        <v>182</v>
      </c>
      <c r="C11" s="1">
        <f t="shared" si="0"/>
        <v>1.82</v>
      </c>
      <c r="D11" s="1">
        <v>77</v>
      </c>
      <c r="E11" s="1">
        <f t="shared" si="1"/>
        <v>23.245984784446321</v>
      </c>
      <c r="F11" s="1" t="str">
        <f t="shared" si="2"/>
        <v>10.084080895389 Less</v>
      </c>
      <c r="G11" s="1" t="s">
        <v>50</v>
      </c>
      <c r="H11" s="1" t="s">
        <v>15</v>
      </c>
      <c r="I11" s="1" t="s">
        <v>51</v>
      </c>
      <c r="J11" s="1">
        <v>57</v>
      </c>
      <c r="K11" s="1" t="s">
        <v>52</v>
      </c>
      <c r="L11" s="1" t="s">
        <v>18</v>
      </c>
      <c r="M11" s="1" t="s">
        <v>25</v>
      </c>
    </row>
    <row r="12" spans="1:13" ht="15.75" customHeight="1" x14ac:dyDescent="0.25">
      <c r="A12" s="1" t="s">
        <v>53</v>
      </c>
      <c r="B12" s="1">
        <v>188</v>
      </c>
      <c r="C12" s="1">
        <f t="shared" si="0"/>
        <v>1.88</v>
      </c>
      <c r="D12" s="1">
        <v>84</v>
      </c>
      <c r="E12" s="1">
        <f t="shared" si="1"/>
        <v>23.766410140334994</v>
      </c>
      <c r="F12" s="1" t="str">
        <f t="shared" si="2"/>
        <v>9.56365553950031 Less</v>
      </c>
      <c r="G12" s="1" t="s">
        <v>14</v>
      </c>
      <c r="H12" s="1" t="s">
        <v>15</v>
      </c>
      <c r="I12" s="1" t="s">
        <v>16</v>
      </c>
      <c r="J12" s="1">
        <v>41.9</v>
      </c>
      <c r="K12" s="1" t="s">
        <v>17</v>
      </c>
      <c r="L12" s="1" t="s">
        <v>18</v>
      </c>
      <c r="M12" s="1" t="s">
        <v>54</v>
      </c>
    </row>
    <row r="13" spans="1:13" ht="15.75" customHeight="1" x14ac:dyDescent="0.25">
      <c r="A13" s="1" t="s">
        <v>55</v>
      </c>
      <c r="B13" s="1">
        <v>180</v>
      </c>
      <c r="C13" s="1">
        <f t="shared" si="0"/>
        <v>1.8</v>
      </c>
      <c r="D13" s="1" t="s">
        <v>21</v>
      </c>
      <c r="E13" s="1" t="str">
        <f t="shared" si="1"/>
        <v>not enough data</v>
      </c>
      <c r="F13" s="1" t="str">
        <f t="shared" si="2"/>
        <v>not enough data</v>
      </c>
      <c r="G13" s="1" t="s">
        <v>56</v>
      </c>
      <c r="H13" s="1" t="s">
        <v>15</v>
      </c>
      <c r="I13" s="1" t="s">
        <v>16</v>
      </c>
      <c r="J13" s="1">
        <v>64</v>
      </c>
      <c r="K13" s="1" t="s">
        <v>57</v>
      </c>
      <c r="L13" s="1" t="s">
        <v>18</v>
      </c>
      <c r="M13" s="1" t="s">
        <v>58</v>
      </c>
    </row>
    <row r="14" spans="1:13" ht="15.75" customHeight="1" x14ac:dyDescent="0.25">
      <c r="A14" s="1" t="s">
        <v>59</v>
      </c>
      <c r="B14" s="1">
        <v>228</v>
      </c>
      <c r="C14" s="1">
        <f t="shared" si="0"/>
        <v>2.2799999999999998</v>
      </c>
      <c r="D14" s="1">
        <v>112</v>
      </c>
      <c r="E14" s="1">
        <f t="shared" si="1"/>
        <v>21.545090797168363</v>
      </c>
      <c r="F14" s="1" t="str">
        <f t="shared" si="2"/>
        <v>11.7849748826669 Less</v>
      </c>
      <c r="G14" s="1" t="s">
        <v>36</v>
      </c>
      <c r="H14" s="1" t="s">
        <v>60</v>
      </c>
      <c r="I14" s="1" t="s">
        <v>16</v>
      </c>
      <c r="J14" s="1">
        <v>200</v>
      </c>
      <c r="K14" s="1" t="s">
        <v>61</v>
      </c>
      <c r="L14" s="1" t="s">
        <v>62</v>
      </c>
      <c r="M14" s="1" t="s">
        <v>39</v>
      </c>
    </row>
    <row r="15" spans="1:13" ht="15.75" customHeight="1" x14ac:dyDescent="0.25">
      <c r="A15" s="1" t="s">
        <v>63</v>
      </c>
      <c r="B15" s="1">
        <v>180</v>
      </c>
      <c r="C15" s="1">
        <f t="shared" si="0"/>
        <v>1.8</v>
      </c>
      <c r="D15" s="1">
        <v>80</v>
      </c>
      <c r="E15" s="1">
        <f t="shared" si="1"/>
        <v>24.691358024691358</v>
      </c>
      <c r="F15" s="1" t="str">
        <f t="shared" si="2"/>
        <v>8.63870765514395 Less</v>
      </c>
      <c r="G15" s="1" t="s">
        <v>36</v>
      </c>
      <c r="H15" s="1" t="s">
        <v>15</v>
      </c>
      <c r="I15" s="1" t="s">
        <v>36</v>
      </c>
      <c r="J15" s="1">
        <v>29</v>
      </c>
      <c r="K15" s="1" t="s">
        <v>64</v>
      </c>
      <c r="L15" s="1" t="s">
        <v>18</v>
      </c>
      <c r="M15" s="1" t="s">
        <v>65</v>
      </c>
    </row>
    <row r="16" spans="1:13" ht="15.75" customHeight="1" x14ac:dyDescent="0.25">
      <c r="A16" s="1" t="s">
        <v>66</v>
      </c>
      <c r="B16" s="1">
        <v>173</v>
      </c>
      <c r="C16" s="1">
        <f t="shared" si="0"/>
        <v>1.73</v>
      </c>
      <c r="D16" s="1">
        <v>74</v>
      </c>
      <c r="E16" s="1">
        <f t="shared" si="1"/>
        <v>24.725182932941294</v>
      </c>
      <c r="F16" s="1" t="str">
        <f t="shared" si="2"/>
        <v>8.60488274689401 Less</v>
      </c>
      <c r="G16" s="1" t="s">
        <v>21</v>
      </c>
      <c r="H16" s="1" t="s">
        <v>67</v>
      </c>
      <c r="I16" s="1" t="s">
        <v>48</v>
      </c>
      <c r="J16" s="1">
        <v>44</v>
      </c>
      <c r="K16" s="1" t="s">
        <v>68</v>
      </c>
      <c r="L16" s="1" t="s">
        <v>69</v>
      </c>
      <c r="M16" s="1" t="s">
        <v>46</v>
      </c>
    </row>
    <row r="17" spans="1:13" ht="15.75" customHeight="1" x14ac:dyDescent="0.25">
      <c r="A17" s="1" t="s">
        <v>70</v>
      </c>
      <c r="B17" s="1">
        <v>175</v>
      </c>
      <c r="C17" s="1">
        <f t="shared" si="0"/>
        <v>1.75</v>
      </c>
      <c r="D17" s="1">
        <v>1358</v>
      </c>
      <c r="E17" s="1">
        <f t="shared" si="1"/>
        <v>443.42857142857144</v>
      </c>
      <c r="F17" s="1" t="str">
        <f t="shared" si="2"/>
        <v>410.098505748736 More</v>
      </c>
      <c r="G17" s="1" t="s">
        <v>21</v>
      </c>
      <c r="H17" s="1" t="s">
        <v>71</v>
      </c>
      <c r="I17" s="1" t="s">
        <v>72</v>
      </c>
      <c r="J17" s="1">
        <v>600</v>
      </c>
      <c r="K17" s="1" t="s">
        <v>73</v>
      </c>
      <c r="L17" s="1" t="s">
        <v>74</v>
      </c>
      <c r="M17" s="1" t="s">
        <v>75</v>
      </c>
    </row>
    <row r="18" spans="1:13" ht="15.75" customHeight="1" x14ac:dyDescent="0.25">
      <c r="A18" s="1" t="s">
        <v>76</v>
      </c>
      <c r="B18" s="1">
        <v>170</v>
      </c>
      <c r="C18" s="1">
        <f t="shared" si="0"/>
        <v>1.7</v>
      </c>
      <c r="D18" s="1">
        <v>77</v>
      </c>
      <c r="E18" s="1">
        <f t="shared" si="1"/>
        <v>26.643598615916957</v>
      </c>
      <c r="F18" s="1" t="str">
        <f t="shared" si="2"/>
        <v>6.68646706391835 Less</v>
      </c>
      <c r="G18" s="1" t="s">
        <v>36</v>
      </c>
      <c r="H18" s="1" t="s">
        <v>15</v>
      </c>
      <c r="I18" s="1" t="s">
        <v>77</v>
      </c>
      <c r="J18" s="1">
        <v>21</v>
      </c>
      <c r="K18" s="1" t="s">
        <v>64</v>
      </c>
      <c r="L18" s="1" t="s">
        <v>18</v>
      </c>
      <c r="M18" s="1" t="s">
        <v>78</v>
      </c>
    </row>
    <row r="19" spans="1:13" ht="15.75" customHeight="1" x14ac:dyDescent="0.25">
      <c r="A19" s="1" t="s">
        <v>79</v>
      </c>
      <c r="B19" s="1">
        <v>180</v>
      </c>
      <c r="C19" s="1">
        <f t="shared" si="0"/>
        <v>1.8</v>
      </c>
      <c r="D19" s="1">
        <v>110</v>
      </c>
      <c r="E19" s="1">
        <f t="shared" si="1"/>
        <v>33.950617283950614</v>
      </c>
      <c r="F19" s="1" t="str">
        <f t="shared" si="2"/>
        <v>0.620551604115306 More</v>
      </c>
      <c r="G19" s="1" t="s">
        <v>36</v>
      </c>
      <c r="H19" s="1" t="s">
        <v>15</v>
      </c>
      <c r="I19" s="1" t="s">
        <v>16</v>
      </c>
      <c r="J19" s="1" t="s">
        <v>21</v>
      </c>
      <c r="K19" s="1" t="s">
        <v>80</v>
      </c>
      <c r="L19" s="1" t="s">
        <v>18</v>
      </c>
      <c r="M19" s="1" t="s">
        <v>46</v>
      </c>
    </row>
    <row r="20" spans="1:13" ht="15.75" customHeight="1" x14ac:dyDescent="0.25">
      <c r="A20" s="1" t="s">
        <v>81</v>
      </c>
      <c r="B20" s="1">
        <v>66</v>
      </c>
      <c r="C20" s="1">
        <f t="shared" si="0"/>
        <v>0.66</v>
      </c>
      <c r="D20" s="1">
        <v>17</v>
      </c>
      <c r="E20" s="1">
        <f t="shared" si="1"/>
        <v>39.026629935720841</v>
      </c>
      <c r="F20" s="1" t="str">
        <f t="shared" si="2"/>
        <v>5.69656425588553 More</v>
      </c>
      <c r="G20" s="1" t="s">
        <v>33</v>
      </c>
      <c r="H20" s="1" t="s">
        <v>67</v>
      </c>
      <c r="I20" s="1" t="s">
        <v>36</v>
      </c>
      <c r="J20" s="1">
        <v>896</v>
      </c>
      <c r="K20" s="1" t="s">
        <v>21</v>
      </c>
      <c r="L20" s="1" t="s">
        <v>82</v>
      </c>
      <c r="M20" s="1" t="s">
        <v>83</v>
      </c>
    </row>
    <row r="21" spans="1:13" ht="15.75" customHeight="1" x14ac:dyDescent="0.25">
      <c r="A21" s="1" t="s">
        <v>84</v>
      </c>
      <c r="B21" s="1">
        <v>170</v>
      </c>
      <c r="C21" s="1">
        <f t="shared" si="0"/>
        <v>1.7</v>
      </c>
      <c r="D21" s="1">
        <v>75</v>
      </c>
      <c r="E21" s="1">
        <f t="shared" si="1"/>
        <v>25.95155709342561</v>
      </c>
      <c r="F21" s="1" t="str">
        <f t="shared" si="2"/>
        <v>7.3785085864097 Less</v>
      </c>
      <c r="G21" s="1" t="s">
        <v>85</v>
      </c>
      <c r="H21" s="1" t="s">
        <v>86</v>
      </c>
      <c r="I21" s="1" t="s">
        <v>23</v>
      </c>
      <c r="J21" s="1">
        <v>82</v>
      </c>
      <c r="K21" s="1" t="s">
        <v>29</v>
      </c>
      <c r="L21" s="1" t="s">
        <v>18</v>
      </c>
      <c r="M21" s="1" t="s">
        <v>87</v>
      </c>
    </row>
    <row r="22" spans="1:13" ht="15.75" customHeight="1" x14ac:dyDescent="0.25">
      <c r="A22" s="1" t="s">
        <v>88</v>
      </c>
      <c r="B22" s="1">
        <v>183</v>
      </c>
      <c r="C22" s="1">
        <f t="shared" si="0"/>
        <v>1.83</v>
      </c>
      <c r="D22" s="1">
        <v>78.2</v>
      </c>
      <c r="E22" s="1">
        <f t="shared" si="1"/>
        <v>23.350951058556539</v>
      </c>
      <c r="F22" s="1" t="str">
        <f t="shared" si="2"/>
        <v>9.97911462127877 Less</v>
      </c>
      <c r="G22" s="1" t="s">
        <v>48</v>
      </c>
      <c r="H22" s="1" t="s">
        <v>15</v>
      </c>
      <c r="I22" s="1" t="s">
        <v>36</v>
      </c>
      <c r="J22" s="1">
        <v>31.5</v>
      </c>
      <c r="K22" s="1" t="s">
        <v>89</v>
      </c>
      <c r="L22" s="1" t="s">
        <v>18</v>
      </c>
      <c r="M22" s="1" t="s">
        <v>90</v>
      </c>
    </row>
    <row r="23" spans="1:13" ht="15.75" customHeight="1" x14ac:dyDescent="0.25">
      <c r="A23" s="1" t="s">
        <v>91</v>
      </c>
      <c r="B23" s="1">
        <v>200</v>
      </c>
      <c r="C23" s="1">
        <f t="shared" si="0"/>
        <v>2</v>
      </c>
      <c r="D23" s="1">
        <v>140</v>
      </c>
      <c r="E23" s="1">
        <f t="shared" si="1"/>
        <v>35</v>
      </c>
      <c r="F23" s="1" t="str">
        <f t="shared" si="2"/>
        <v>1.66993432016469 More</v>
      </c>
      <c r="G23" s="1" t="s">
        <v>32</v>
      </c>
      <c r="H23" s="1" t="s">
        <v>92</v>
      </c>
      <c r="I23" s="1" t="s">
        <v>28</v>
      </c>
      <c r="J23" s="1">
        <v>15</v>
      </c>
      <c r="K23" s="1" t="s">
        <v>21</v>
      </c>
      <c r="L23" s="1" t="s">
        <v>24</v>
      </c>
      <c r="M23" s="1" t="s">
        <v>93</v>
      </c>
    </row>
    <row r="24" spans="1:13" ht="15.75" customHeight="1" x14ac:dyDescent="0.25">
      <c r="A24" s="1" t="s">
        <v>94</v>
      </c>
      <c r="B24" s="1">
        <v>190</v>
      </c>
      <c r="C24" s="1">
        <f t="shared" si="0"/>
        <v>1.9</v>
      </c>
      <c r="D24" s="1">
        <v>113</v>
      </c>
      <c r="E24" s="1">
        <f t="shared" si="1"/>
        <v>31.301939058171747</v>
      </c>
      <c r="F24" s="1" t="str">
        <f t="shared" si="2"/>
        <v>2.02812662166356 Less</v>
      </c>
      <c r="G24" s="1" t="s">
        <v>32</v>
      </c>
      <c r="H24" s="1" t="s">
        <v>67</v>
      </c>
      <c r="I24" s="1" t="s">
        <v>28</v>
      </c>
      <c r="J24" s="1">
        <v>53</v>
      </c>
      <c r="K24" s="1" t="s">
        <v>95</v>
      </c>
      <c r="L24" s="1" t="s">
        <v>96</v>
      </c>
      <c r="M24" s="1" t="s">
        <v>93</v>
      </c>
    </row>
    <row r="25" spans="1:13" ht="15.75" customHeight="1" x14ac:dyDescent="0.25">
      <c r="A25" s="1" t="s">
        <v>97</v>
      </c>
      <c r="B25" s="1">
        <v>177</v>
      </c>
      <c r="C25" s="1">
        <f t="shared" si="0"/>
        <v>1.77</v>
      </c>
      <c r="D25" s="1">
        <v>79</v>
      </c>
      <c r="E25" s="1">
        <f t="shared" si="1"/>
        <v>25.216253311628201</v>
      </c>
      <c r="F25" s="1" t="str">
        <f t="shared" si="2"/>
        <v>8.11381236820711 Less</v>
      </c>
      <c r="G25" s="1" t="s">
        <v>48</v>
      </c>
      <c r="H25" s="1" t="s">
        <v>98</v>
      </c>
      <c r="I25" s="1" t="s">
        <v>36</v>
      </c>
      <c r="J25" s="1">
        <v>31</v>
      </c>
      <c r="K25" s="1" t="s">
        <v>99</v>
      </c>
      <c r="L25" s="1" t="s">
        <v>18</v>
      </c>
      <c r="M25" s="1" t="s">
        <v>100</v>
      </c>
    </row>
    <row r="26" spans="1:13" ht="15.75" customHeight="1" x14ac:dyDescent="0.25">
      <c r="A26" s="1" t="s">
        <v>101</v>
      </c>
      <c r="B26" s="1">
        <v>175</v>
      </c>
      <c r="C26" s="1">
        <f t="shared" si="0"/>
        <v>1.75</v>
      </c>
      <c r="D26" s="1">
        <v>79</v>
      </c>
      <c r="E26" s="1">
        <f t="shared" si="1"/>
        <v>25.795918367346939</v>
      </c>
      <c r="F26" s="1" t="str">
        <f t="shared" si="2"/>
        <v>7.53414731248837 Less</v>
      </c>
      <c r="G26" s="1" t="s">
        <v>32</v>
      </c>
      <c r="H26" s="1" t="s">
        <v>37</v>
      </c>
      <c r="I26" s="1" t="s">
        <v>16</v>
      </c>
      <c r="J26" s="1">
        <v>37</v>
      </c>
      <c r="K26" s="1" t="s">
        <v>102</v>
      </c>
      <c r="L26" s="1" t="s">
        <v>18</v>
      </c>
      <c r="M26" s="1" t="s">
        <v>93</v>
      </c>
    </row>
    <row r="27" spans="1:13" ht="15.75" customHeight="1" x14ac:dyDescent="0.25">
      <c r="A27" s="1" t="s">
        <v>103</v>
      </c>
      <c r="B27" s="1">
        <v>180</v>
      </c>
      <c r="C27" s="1">
        <f t="shared" si="0"/>
        <v>1.8</v>
      </c>
      <c r="D27" s="1">
        <v>83</v>
      </c>
      <c r="E27" s="1">
        <f t="shared" si="1"/>
        <v>25.617283950617281</v>
      </c>
      <c r="F27" s="1" t="str">
        <f t="shared" si="2"/>
        <v>7.71278172921803 Less</v>
      </c>
      <c r="G27" s="1" t="s">
        <v>32</v>
      </c>
      <c r="H27" s="1" t="s">
        <v>104</v>
      </c>
      <c r="I27" s="1" t="s">
        <v>72</v>
      </c>
      <c r="J27" s="1">
        <v>41</v>
      </c>
      <c r="K27" s="1" t="s">
        <v>105</v>
      </c>
      <c r="L27" s="1" t="s">
        <v>106</v>
      </c>
      <c r="M27" s="1" t="s">
        <v>107</v>
      </c>
    </row>
    <row r="28" spans="1:13" ht="15.75" customHeight="1" x14ac:dyDescent="0.25">
      <c r="A28" s="1" t="s">
        <v>108</v>
      </c>
      <c r="B28" s="1">
        <v>150</v>
      </c>
      <c r="C28" s="1">
        <f t="shared" si="0"/>
        <v>1.5</v>
      </c>
      <c r="D28" s="1" t="s">
        <v>21</v>
      </c>
      <c r="E28" s="1" t="str">
        <f t="shared" si="1"/>
        <v>not enough data</v>
      </c>
      <c r="F28" s="1" t="str">
        <f t="shared" si="2"/>
        <v>not enough data</v>
      </c>
      <c r="G28" s="1" t="s">
        <v>109</v>
      </c>
      <c r="H28" s="1" t="s">
        <v>15</v>
      </c>
      <c r="I28" s="1" t="s">
        <v>16</v>
      </c>
      <c r="J28" s="1">
        <v>48</v>
      </c>
      <c r="K28" s="1" t="s">
        <v>110</v>
      </c>
      <c r="L28" s="1" t="s">
        <v>18</v>
      </c>
      <c r="M28" s="1" t="s">
        <v>111</v>
      </c>
    </row>
    <row r="29" spans="1:13" ht="15.75" customHeight="1" x14ac:dyDescent="0.25">
      <c r="A29" s="1" t="s">
        <v>112</v>
      </c>
      <c r="B29" s="1" t="s">
        <v>21</v>
      </c>
      <c r="C29" s="1" t="str">
        <f t="shared" si="0"/>
        <v>No Height Data</v>
      </c>
      <c r="D29" s="1" t="s">
        <v>21</v>
      </c>
      <c r="E29" s="1" t="str">
        <f t="shared" si="1"/>
        <v>not enough data</v>
      </c>
      <c r="F29" s="1" t="str">
        <f t="shared" si="2"/>
        <v>not enough data</v>
      </c>
      <c r="G29" s="1" t="s">
        <v>36</v>
      </c>
      <c r="H29" s="1" t="s">
        <v>15</v>
      </c>
      <c r="I29" s="1" t="s">
        <v>36</v>
      </c>
      <c r="J29" s="1" t="s">
        <v>21</v>
      </c>
      <c r="K29" s="1" t="s">
        <v>21</v>
      </c>
      <c r="L29" s="1" t="s">
        <v>18</v>
      </c>
      <c r="M29" s="1" t="s">
        <v>111</v>
      </c>
    </row>
    <row r="30" spans="1:13" ht="15.75" customHeight="1" x14ac:dyDescent="0.25">
      <c r="A30" s="1" t="s">
        <v>113</v>
      </c>
      <c r="B30" s="1">
        <v>88</v>
      </c>
      <c r="C30" s="1">
        <f t="shared" si="0"/>
        <v>0.88</v>
      </c>
      <c r="D30" s="1">
        <v>20</v>
      </c>
      <c r="E30" s="1">
        <f t="shared" si="1"/>
        <v>25.826446280991735</v>
      </c>
      <c r="F30" s="1" t="str">
        <f t="shared" si="2"/>
        <v>7.50361939884357 Less</v>
      </c>
      <c r="G30" s="1" t="s">
        <v>36</v>
      </c>
      <c r="H30" s="1" t="s">
        <v>36</v>
      </c>
      <c r="I30" s="1" t="s">
        <v>36</v>
      </c>
      <c r="J30" s="1">
        <v>8</v>
      </c>
      <c r="K30" s="1" t="s">
        <v>114</v>
      </c>
      <c r="L30" s="1" t="s">
        <v>115</v>
      </c>
      <c r="M30" s="1" t="s">
        <v>111</v>
      </c>
    </row>
    <row r="31" spans="1:13" ht="15.75" customHeight="1" x14ac:dyDescent="0.25">
      <c r="A31" s="1" t="s">
        <v>116</v>
      </c>
      <c r="B31" s="1">
        <v>160</v>
      </c>
      <c r="C31" s="1">
        <f t="shared" si="0"/>
        <v>1.6</v>
      </c>
      <c r="D31" s="1">
        <v>68</v>
      </c>
      <c r="E31" s="1">
        <f t="shared" si="1"/>
        <v>26.562499999999996</v>
      </c>
      <c r="F31" s="1" t="str">
        <f t="shared" si="2"/>
        <v>6.76756567983531 Less</v>
      </c>
      <c r="G31" s="1" t="s">
        <v>32</v>
      </c>
      <c r="H31" s="1" t="s">
        <v>85</v>
      </c>
      <c r="I31" s="1" t="s">
        <v>48</v>
      </c>
      <c r="J31" s="1" t="s">
        <v>21</v>
      </c>
      <c r="K31" s="1" t="s">
        <v>117</v>
      </c>
      <c r="L31" s="1" t="s">
        <v>118</v>
      </c>
      <c r="M31" s="1" t="s">
        <v>111</v>
      </c>
    </row>
    <row r="32" spans="1:13" ht="15.75" customHeight="1" x14ac:dyDescent="0.25">
      <c r="A32" s="1" t="s">
        <v>119</v>
      </c>
      <c r="B32" s="1">
        <v>193</v>
      </c>
      <c r="C32" s="1">
        <f t="shared" si="0"/>
        <v>1.93</v>
      </c>
      <c r="D32" s="1">
        <v>89</v>
      </c>
      <c r="E32" s="1">
        <f t="shared" si="1"/>
        <v>23.893258879433006</v>
      </c>
      <c r="F32" s="1" t="str">
        <f t="shared" si="2"/>
        <v>9.4368068004023 Less</v>
      </c>
      <c r="G32" s="1" t="s">
        <v>36</v>
      </c>
      <c r="H32" s="1" t="s">
        <v>15</v>
      </c>
      <c r="I32" s="1" t="s">
        <v>16</v>
      </c>
      <c r="J32" s="1">
        <v>92</v>
      </c>
      <c r="K32" s="1" t="s">
        <v>21</v>
      </c>
      <c r="L32" s="1" t="s">
        <v>18</v>
      </c>
      <c r="M32" s="1" t="s">
        <v>120</v>
      </c>
    </row>
    <row r="33" spans="1:13" ht="15.75" customHeight="1" x14ac:dyDescent="0.25">
      <c r="A33" s="1" t="s">
        <v>121</v>
      </c>
      <c r="B33" s="1">
        <v>191</v>
      </c>
      <c r="C33" s="1">
        <f t="shared" si="0"/>
        <v>1.91</v>
      </c>
      <c r="D33" s="1">
        <v>90</v>
      </c>
      <c r="E33" s="1">
        <f t="shared" si="1"/>
        <v>24.670376360297141</v>
      </c>
      <c r="F33" s="1" t="str">
        <f t="shared" si="2"/>
        <v>8.65968931953817 Less</v>
      </c>
      <c r="G33" s="1" t="s">
        <v>32</v>
      </c>
      <c r="H33" s="1" t="s">
        <v>122</v>
      </c>
      <c r="I33" s="1" t="s">
        <v>28</v>
      </c>
      <c r="J33" s="1" t="s">
        <v>21</v>
      </c>
      <c r="K33" s="1" t="s">
        <v>123</v>
      </c>
      <c r="L33" s="1" t="s">
        <v>124</v>
      </c>
      <c r="M33" s="1" t="s">
        <v>54</v>
      </c>
    </row>
    <row r="34" spans="1:13" ht="15.75" customHeight="1" x14ac:dyDescent="0.25">
      <c r="A34" s="1" t="s">
        <v>125</v>
      </c>
      <c r="B34" s="1">
        <v>170</v>
      </c>
      <c r="C34" s="1">
        <f t="shared" si="0"/>
        <v>1.7</v>
      </c>
      <c r="D34" s="1" t="s">
        <v>21</v>
      </c>
      <c r="E34" s="1" t="str">
        <f t="shared" si="1"/>
        <v>not enough data</v>
      </c>
      <c r="F34" s="1" t="str">
        <f t="shared" si="2"/>
        <v>not enough data</v>
      </c>
      <c r="G34" s="1" t="s">
        <v>14</v>
      </c>
      <c r="H34" s="1" t="s">
        <v>15</v>
      </c>
      <c r="I34" s="1" t="s">
        <v>16</v>
      </c>
      <c r="J34" s="1">
        <v>91</v>
      </c>
      <c r="K34" s="1" t="s">
        <v>126</v>
      </c>
      <c r="L34" s="1" t="s">
        <v>18</v>
      </c>
      <c r="M34" s="1" t="s">
        <v>120</v>
      </c>
    </row>
    <row r="35" spans="1:13" ht="15.75" customHeight="1" x14ac:dyDescent="0.25">
      <c r="A35" s="1" t="s">
        <v>127</v>
      </c>
      <c r="B35" s="1">
        <v>196</v>
      </c>
      <c r="C35" s="1">
        <f t="shared" si="0"/>
        <v>1.96</v>
      </c>
      <c r="D35" s="1">
        <v>66</v>
      </c>
      <c r="E35" s="1">
        <f t="shared" si="1"/>
        <v>17.180341524364849</v>
      </c>
      <c r="F35" s="1" t="str">
        <f t="shared" si="2"/>
        <v>16.1497241554705 Less</v>
      </c>
      <c r="G35" s="1" t="s">
        <v>32</v>
      </c>
      <c r="H35" s="1" t="s">
        <v>72</v>
      </c>
      <c r="I35" s="1" t="s">
        <v>72</v>
      </c>
      <c r="J35" s="1">
        <v>52</v>
      </c>
      <c r="K35" s="1" t="s">
        <v>29</v>
      </c>
      <c r="L35" s="1" t="s">
        <v>128</v>
      </c>
      <c r="M35" s="1" t="s">
        <v>129</v>
      </c>
    </row>
    <row r="36" spans="1:13" ht="15.75" customHeight="1" x14ac:dyDescent="0.25">
      <c r="A36" s="1" t="s">
        <v>130</v>
      </c>
      <c r="B36" s="1">
        <v>224</v>
      </c>
      <c r="C36" s="1">
        <f t="shared" si="0"/>
        <v>2.2400000000000002</v>
      </c>
      <c r="D36" s="1">
        <v>82</v>
      </c>
      <c r="E36" s="1">
        <f t="shared" si="1"/>
        <v>16.342474489795915</v>
      </c>
      <c r="F36" s="1" t="str">
        <f t="shared" si="2"/>
        <v>16.9875911900394 Less</v>
      </c>
      <c r="G36" s="1" t="s">
        <v>32</v>
      </c>
      <c r="H36" s="1" t="s">
        <v>85</v>
      </c>
      <c r="I36" s="1" t="s">
        <v>72</v>
      </c>
      <c r="J36" s="1" t="s">
        <v>21</v>
      </c>
      <c r="K36" s="1" t="s">
        <v>29</v>
      </c>
      <c r="L36" s="1" t="s">
        <v>128</v>
      </c>
      <c r="M36" s="1" t="s">
        <v>120</v>
      </c>
    </row>
    <row r="37" spans="1:13" ht="15.75" customHeight="1" x14ac:dyDescent="0.25">
      <c r="A37" s="1" t="s">
        <v>131</v>
      </c>
      <c r="B37" s="1">
        <v>206</v>
      </c>
      <c r="C37" s="1">
        <f t="shared" si="0"/>
        <v>2.06</v>
      </c>
      <c r="D37" s="1" t="s">
        <v>21</v>
      </c>
      <c r="E37" s="1" t="str">
        <f t="shared" si="1"/>
        <v>not enough data</v>
      </c>
      <c r="F37" s="1" t="str">
        <f t="shared" si="2"/>
        <v>not enough data</v>
      </c>
      <c r="G37" s="1" t="s">
        <v>32</v>
      </c>
      <c r="H37" s="1" t="s">
        <v>67</v>
      </c>
      <c r="I37" s="1" t="s">
        <v>72</v>
      </c>
      <c r="J37" s="1" t="s">
        <v>21</v>
      </c>
      <c r="K37" s="1" t="s">
        <v>29</v>
      </c>
      <c r="L37" s="1" t="s">
        <v>128</v>
      </c>
      <c r="M37" s="1" t="s">
        <v>120</v>
      </c>
    </row>
    <row r="38" spans="1:13" ht="15.75" customHeight="1" x14ac:dyDescent="0.25">
      <c r="A38" s="1" t="s">
        <v>132</v>
      </c>
      <c r="B38" s="1">
        <v>183</v>
      </c>
      <c r="C38" s="1">
        <f t="shared" si="0"/>
        <v>1.83</v>
      </c>
      <c r="D38" s="1" t="s">
        <v>21</v>
      </c>
      <c r="E38" s="1" t="str">
        <f t="shared" si="1"/>
        <v>not enough data</v>
      </c>
      <c r="F38" s="1" t="str">
        <f t="shared" si="2"/>
        <v>not enough data</v>
      </c>
      <c r="G38" s="1" t="s">
        <v>36</v>
      </c>
      <c r="H38" s="1" t="s">
        <v>15</v>
      </c>
      <c r="I38" s="1" t="s">
        <v>16</v>
      </c>
      <c r="J38" s="1" t="s">
        <v>21</v>
      </c>
      <c r="K38" s="1" t="s">
        <v>29</v>
      </c>
      <c r="L38" s="1" t="s">
        <v>21</v>
      </c>
      <c r="M38" s="1" t="s">
        <v>120</v>
      </c>
    </row>
    <row r="39" spans="1:13" ht="15.75" customHeight="1" x14ac:dyDescent="0.25">
      <c r="A39" s="1" t="s">
        <v>133</v>
      </c>
      <c r="B39" s="1">
        <v>137</v>
      </c>
      <c r="C39" s="1">
        <f t="shared" si="0"/>
        <v>1.37</v>
      </c>
      <c r="D39" s="1" t="s">
        <v>21</v>
      </c>
      <c r="E39" s="1" t="str">
        <f t="shared" si="1"/>
        <v>not enough data</v>
      </c>
      <c r="F39" s="1" t="str">
        <f t="shared" si="2"/>
        <v>not enough data</v>
      </c>
      <c r="G39" s="1" t="s">
        <v>48</v>
      </c>
      <c r="H39" s="1" t="s">
        <v>134</v>
      </c>
      <c r="I39" s="1" t="s">
        <v>23</v>
      </c>
      <c r="J39" s="1" t="s">
        <v>21</v>
      </c>
      <c r="K39" s="1" t="s">
        <v>135</v>
      </c>
      <c r="L39" s="1" t="s">
        <v>136</v>
      </c>
      <c r="M39" s="1" t="s">
        <v>137</v>
      </c>
    </row>
    <row r="40" spans="1:13" ht="15.75" customHeight="1" x14ac:dyDescent="0.25">
      <c r="A40" s="1" t="s">
        <v>138</v>
      </c>
      <c r="B40" s="1">
        <v>112</v>
      </c>
      <c r="C40" s="1">
        <f t="shared" si="0"/>
        <v>1.1200000000000001</v>
      </c>
      <c r="D40" s="1">
        <v>40</v>
      </c>
      <c r="E40" s="1">
        <f t="shared" si="1"/>
        <v>31.887755102040813</v>
      </c>
      <c r="F40" s="1" t="str">
        <f t="shared" si="2"/>
        <v>1.44231057779449 Less</v>
      </c>
      <c r="G40" s="1" t="s">
        <v>32</v>
      </c>
      <c r="H40" s="1" t="s">
        <v>139</v>
      </c>
      <c r="I40" s="1" t="s">
        <v>72</v>
      </c>
      <c r="J40" s="1" t="s">
        <v>21</v>
      </c>
      <c r="K40" s="1" t="s">
        <v>140</v>
      </c>
      <c r="L40" s="1" t="s">
        <v>141</v>
      </c>
      <c r="M40" s="1" t="s">
        <v>120</v>
      </c>
    </row>
    <row r="41" spans="1:13" ht="15.75" customHeight="1" x14ac:dyDescent="0.25">
      <c r="A41" s="1" t="s">
        <v>142</v>
      </c>
      <c r="B41" s="1">
        <v>183</v>
      </c>
      <c r="C41" s="1">
        <f t="shared" si="0"/>
        <v>1.83</v>
      </c>
      <c r="D41" s="1" t="s">
        <v>21</v>
      </c>
      <c r="E41" s="1" t="str">
        <f t="shared" si="1"/>
        <v>not enough data</v>
      </c>
      <c r="F41" s="1" t="str">
        <f t="shared" si="2"/>
        <v>not enough data</v>
      </c>
      <c r="G41" s="1" t="s">
        <v>48</v>
      </c>
      <c r="H41" s="1" t="s">
        <v>98</v>
      </c>
      <c r="I41" s="1" t="s">
        <v>36</v>
      </c>
      <c r="J41" s="1">
        <v>62</v>
      </c>
      <c r="K41" s="1" t="s">
        <v>29</v>
      </c>
      <c r="L41" s="1" t="s">
        <v>21</v>
      </c>
      <c r="M41" s="1" t="s">
        <v>120</v>
      </c>
    </row>
    <row r="42" spans="1:13" ht="15.75" customHeight="1" x14ac:dyDescent="0.25">
      <c r="A42" s="1" t="s">
        <v>143</v>
      </c>
      <c r="B42" s="1">
        <v>163</v>
      </c>
      <c r="C42" s="1">
        <f t="shared" si="0"/>
        <v>1.63</v>
      </c>
      <c r="D42" s="1" t="s">
        <v>21</v>
      </c>
      <c r="E42" s="1" t="str">
        <f t="shared" si="1"/>
        <v>not enough data</v>
      </c>
      <c r="F42" s="1" t="str">
        <f t="shared" si="2"/>
        <v>not enough data</v>
      </c>
      <c r="G42" s="1" t="s">
        <v>48</v>
      </c>
      <c r="H42" s="1" t="s">
        <v>15</v>
      </c>
      <c r="I42" s="1" t="s">
        <v>36</v>
      </c>
      <c r="J42" s="1">
        <v>72</v>
      </c>
      <c r="K42" s="1" t="s">
        <v>17</v>
      </c>
      <c r="L42" s="1" t="s">
        <v>18</v>
      </c>
      <c r="M42" s="1" t="s">
        <v>137</v>
      </c>
    </row>
    <row r="43" spans="1:13" ht="15.75" customHeight="1" x14ac:dyDescent="0.25">
      <c r="A43" s="1" t="s">
        <v>144</v>
      </c>
      <c r="B43" s="1">
        <v>175</v>
      </c>
      <c r="C43" s="1">
        <f t="shared" si="0"/>
        <v>1.75</v>
      </c>
      <c r="D43" s="1">
        <v>80</v>
      </c>
      <c r="E43" s="1">
        <f t="shared" si="1"/>
        <v>26.122448979591837</v>
      </c>
      <c r="F43" s="1" t="str">
        <f t="shared" si="2"/>
        <v>7.20761670024347 Less</v>
      </c>
      <c r="G43" s="1" t="s">
        <v>32</v>
      </c>
      <c r="H43" s="1" t="s">
        <v>28</v>
      </c>
      <c r="I43" s="1" t="s">
        <v>23</v>
      </c>
      <c r="J43" s="1">
        <v>54</v>
      </c>
      <c r="K43" s="1" t="s">
        <v>145</v>
      </c>
      <c r="L43" s="1" t="s">
        <v>146</v>
      </c>
      <c r="M43" s="1" t="s">
        <v>120</v>
      </c>
    </row>
    <row r="44" spans="1:13" ht="15.75" customHeight="1" x14ac:dyDescent="0.25">
      <c r="A44" s="1" t="s">
        <v>147</v>
      </c>
      <c r="B44" s="1">
        <v>180</v>
      </c>
      <c r="C44" s="1">
        <f t="shared" si="0"/>
        <v>1.8</v>
      </c>
      <c r="D44" s="1" t="s">
        <v>21</v>
      </c>
      <c r="E44" s="1" t="str">
        <f t="shared" si="1"/>
        <v>not enough data</v>
      </c>
      <c r="F44" s="1" t="str">
        <f t="shared" si="2"/>
        <v>not enough data</v>
      </c>
      <c r="G44" s="1" t="s">
        <v>32</v>
      </c>
      <c r="H44" s="1" t="s">
        <v>86</v>
      </c>
      <c r="I44" s="1" t="s">
        <v>148</v>
      </c>
      <c r="J44" s="1" t="s">
        <v>21</v>
      </c>
      <c r="K44" s="1" t="s">
        <v>149</v>
      </c>
      <c r="L44" s="1" t="s">
        <v>150</v>
      </c>
      <c r="M44" s="1" t="s">
        <v>111</v>
      </c>
    </row>
    <row r="45" spans="1:13" ht="15.75" customHeight="1" x14ac:dyDescent="0.25">
      <c r="A45" s="1" t="s">
        <v>151</v>
      </c>
      <c r="B45" s="1">
        <v>178</v>
      </c>
      <c r="C45" s="1">
        <f t="shared" si="0"/>
        <v>1.78</v>
      </c>
      <c r="D45" s="1">
        <v>55</v>
      </c>
      <c r="E45" s="1">
        <f t="shared" si="1"/>
        <v>17.35891932836763</v>
      </c>
      <c r="F45" s="1" t="str">
        <f t="shared" si="2"/>
        <v>15.9711463514677 Less</v>
      </c>
      <c r="G45" s="1" t="s">
        <v>32</v>
      </c>
      <c r="H45" s="1" t="s">
        <v>16</v>
      </c>
      <c r="I45" s="1" t="s">
        <v>77</v>
      </c>
      <c r="J45" s="1">
        <v>48</v>
      </c>
      <c r="K45" s="1" t="s">
        <v>149</v>
      </c>
      <c r="L45" s="1" t="s">
        <v>150</v>
      </c>
      <c r="M45" s="1" t="s">
        <v>152</v>
      </c>
    </row>
    <row r="46" spans="1:13" ht="15.75" customHeight="1" x14ac:dyDescent="0.25">
      <c r="A46" s="1" t="s">
        <v>153</v>
      </c>
      <c r="B46" s="1">
        <v>94</v>
      </c>
      <c r="C46" s="1">
        <f t="shared" si="0"/>
        <v>0.94</v>
      </c>
      <c r="D46" s="1">
        <v>45</v>
      </c>
      <c r="E46" s="1">
        <f t="shared" si="1"/>
        <v>50.928021729289277</v>
      </c>
      <c r="F46" s="1" t="str">
        <f t="shared" si="2"/>
        <v>17.597956049454 More</v>
      </c>
      <c r="G46" s="1" t="s">
        <v>32</v>
      </c>
      <c r="H46" s="1" t="s">
        <v>134</v>
      </c>
      <c r="I46" s="1" t="s">
        <v>23</v>
      </c>
      <c r="J46" s="1" t="s">
        <v>21</v>
      </c>
      <c r="K46" s="1" t="s">
        <v>154</v>
      </c>
      <c r="L46" s="1" t="s">
        <v>155</v>
      </c>
      <c r="M46" s="1" t="s">
        <v>120</v>
      </c>
    </row>
    <row r="47" spans="1:13" ht="15.75" customHeight="1" x14ac:dyDescent="0.25">
      <c r="A47" s="1" t="s">
        <v>156</v>
      </c>
      <c r="B47" s="1">
        <v>122</v>
      </c>
      <c r="C47" s="1">
        <f t="shared" si="0"/>
        <v>1.22</v>
      </c>
      <c r="D47" s="1" t="s">
        <v>21</v>
      </c>
      <c r="E47" s="1" t="str">
        <f t="shared" si="1"/>
        <v>not enough data</v>
      </c>
      <c r="F47" s="1" t="str">
        <f t="shared" si="2"/>
        <v>not enough data</v>
      </c>
      <c r="G47" s="1" t="s">
        <v>32</v>
      </c>
      <c r="H47" s="1" t="s">
        <v>27</v>
      </c>
      <c r="I47" s="1" t="s">
        <v>48</v>
      </c>
      <c r="J47" s="1" t="s">
        <v>21</v>
      </c>
      <c r="K47" s="1" t="s">
        <v>157</v>
      </c>
      <c r="L47" s="1" t="s">
        <v>158</v>
      </c>
      <c r="M47" s="1" t="s">
        <v>120</v>
      </c>
    </row>
    <row r="48" spans="1:13" ht="15.75" customHeight="1" x14ac:dyDescent="0.25">
      <c r="A48" s="1" t="s">
        <v>159</v>
      </c>
      <c r="B48" s="1">
        <v>163</v>
      </c>
      <c r="C48" s="1">
        <f t="shared" si="0"/>
        <v>1.63</v>
      </c>
      <c r="D48" s="1">
        <v>65</v>
      </c>
      <c r="E48" s="1">
        <f t="shared" si="1"/>
        <v>24.464601603372351</v>
      </c>
      <c r="F48" s="1" t="str">
        <f t="shared" si="2"/>
        <v>8.86546407646296 Less</v>
      </c>
      <c r="G48" s="1" t="s">
        <v>32</v>
      </c>
      <c r="H48" s="1" t="s">
        <v>160</v>
      </c>
      <c r="I48" s="1" t="s">
        <v>72</v>
      </c>
      <c r="J48" s="1" t="s">
        <v>21</v>
      </c>
      <c r="K48" s="1" t="s">
        <v>161</v>
      </c>
      <c r="L48" s="1" t="s">
        <v>162</v>
      </c>
      <c r="M48" s="1" t="s">
        <v>120</v>
      </c>
    </row>
    <row r="49" spans="1:13" ht="15.75" customHeight="1" x14ac:dyDescent="0.25">
      <c r="A49" s="1" t="s">
        <v>163</v>
      </c>
      <c r="B49" s="1">
        <v>188</v>
      </c>
      <c r="C49" s="1">
        <f t="shared" si="0"/>
        <v>1.88</v>
      </c>
      <c r="D49" s="1">
        <v>84</v>
      </c>
      <c r="E49" s="1">
        <f t="shared" si="1"/>
        <v>23.766410140334994</v>
      </c>
      <c r="F49" s="1" t="str">
        <f t="shared" si="2"/>
        <v>9.56365553950031 Less</v>
      </c>
      <c r="G49" s="1" t="s">
        <v>32</v>
      </c>
      <c r="H49" s="1" t="s">
        <v>98</v>
      </c>
      <c r="I49" s="1" t="s">
        <v>36</v>
      </c>
      <c r="J49" s="1">
        <v>72</v>
      </c>
      <c r="K49" s="1" t="s">
        <v>164</v>
      </c>
      <c r="L49" s="1" t="s">
        <v>18</v>
      </c>
      <c r="M49" s="1" t="s">
        <v>54</v>
      </c>
    </row>
    <row r="50" spans="1:13" ht="15.75" customHeight="1" x14ac:dyDescent="0.25">
      <c r="A50" s="1" t="s">
        <v>165</v>
      </c>
      <c r="B50" s="1">
        <v>198</v>
      </c>
      <c r="C50" s="1">
        <f t="shared" si="0"/>
        <v>1.98</v>
      </c>
      <c r="D50" s="1">
        <v>82</v>
      </c>
      <c r="E50" s="1">
        <f t="shared" si="1"/>
        <v>20.91623303744516</v>
      </c>
      <c r="F50" s="1" t="str">
        <f t="shared" si="2"/>
        <v>12.4138326423901 Less</v>
      </c>
      <c r="G50" s="1" t="s">
        <v>33</v>
      </c>
      <c r="H50" s="1" t="s">
        <v>86</v>
      </c>
      <c r="I50" s="1" t="s">
        <v>23</v>
      </c>
      <c r="J50" s="1">
        <v>92</v>
      </c>
      <c r="K50" s="1" t="s">
        <v>166</v>
      </c>
      <c r="L50" s="1" t="s">
        <v>167</v>
      </c>
      <c r="M50" s="1" t="s">
        <v>54</v>
      </c>
    </row>
    <row r="51" spans="1:13" ht="15.75" customHeight="1" x14ac:dyDescent="0.25">
      <c r="A51" s="1" t="s">
        <v>168</v>
      </c>
      <c r="B51" s="1">
        <v>196</v>
      </c>
      <c r="C51" s="1">
        <f t="shared" si="0"/>
        <v>1.96</v>
      </c>
      <c r="D51" s="1">
        <v>87</v>
      </c>
      <c r="E51" s="1">
        <f t="shared" si="1"/>
        <v>22.646813827571847</v>
      </c>
      <c r="F51" s="1" t="str">
        <f t="shared" si="2"/>
        <v>10.6832518522635 Less</v>
      </c>
      <c r="G51" s="1" t="s">
        <v>32</v>
      </c>
      <c r="H51" s="1" t="s">
        <v>67</v>
      </c>
      <c r="I51" s="1" t="s">
        <v>48</v>
      </c>
      <c r="J51" s="1" t="s">
        <v>21</v>
      </c>
      <c r="K51" s="1" t="s">
        <v>169</v>
      </c>
      <c r="L51" s="1" t="s">
        <v>170</v>
      </c>
      <c r="M51" s="1" t="s">
        <v>54</v>
      </c>
    </row>
    <row r="52" spans="1:13" ht="15.75" customHeight="1" x14ac:dyDescent="0.25">
      <c r="A52" s="1" t="s">
        <v>171</v>
      </c>
      <c r="B52" s="1">
        <v>171</v>
      </c>
      <c r="C52" s="1">
        <f t="shared" si="0"/>
        <v>1.71</v>
      </c>
      <c r="D52" s="1" t="s">
        <v>21</v>
      </c>
      <c r="E52" s="1" t="str">
        <f t="shared" si="1"/>
        <v>not enough data</v>
      </c>
      <c r="F52" s="1" t="str">
        <f t="shared" si="2"/>
        <v>not enough data</v>
      </c>
      <c r="G52" s="1" t="s">
        <v>48</v>
      </c>
      <c r="H52" s="1" t="s">
        <v>36</v>
      </c>
      <c r="I52" s="1" t="s">
        <v>36</v>
      </c>
      <c r="J52" s="1" t="s">
        <v>21</v>
      </c>
      <c r="K52" s="1" t="s">
        <v>172</v>
      </c>
      <c r="L52" s="1" t="s">
        <v>146</v>
      </c>
      <c r="M52" s="1" t="s">
        <v>173</v>
      </c>
    </row>
    <row r="53" spans="1:13" ht="15.75" customHeight="1" x14ac:dyDescent="0.25">
      <c r="A53" s="1" t="s">
        <v>174</v>
      </c>
      <c r="B53" s="1">
        <v>184</v>
      </c>
      <c r="C53" s="1">
        <f t="shared" si="0"/>
        <v>1.84</v>
      </c>
      <c r="D53" s="1">
        <v>50</v>
      </c>
      <c r="E53" s="1">
        <f t="shared" si="1"/>
        <v>14.768431001890358</v>
      </c>
      <c r="F53" s="1" t="str">
        <f t="shared" si="2"/>
        <v>18.561634677945 Less</v>
      </c>
      <c r="G53" s="1" t="s">
        <v>32</v>
      </c>
      <c r="H53" s="1" t="s">
        <v>98</v>
      </c>
      <c r="I53" s="1" t="s">
        <v>16</v>
      </c>
      <c r="J53" s="1" t="s">
        <v>21</v>
      </c>
      <c r="K53" s="1" t="s">
        <v>126</v>
      </c>
      <c r="L53" s="1" t="s">
        <v>175</v>
      </c>
      <c r="M53" s="1" t="s">
        <v>173</v>
      </c>
    </row>
    <row r="54" spans="1:13" ht="15.75" customHeight="1" x14ac:dyDescent="0.25">
      <c r="A54" s="1" t="s">
        <v>176</v>
      </c>
      <c r="B54" s="1">
        <v>188</v>
      </c>
      <c r="C54" s="1">
        <f t="shared" si="0"/>
        <v>1.88</v>
      </c>
      <c r="D54" s="1" t="s">
        <v>21</v>
      </c>
      <c r="E54" s="1" t="str">
        <f t="shared" si="1"/>
        <v>not enough data</v>
      </c>
      <c r="F54" s="1" t="str">
        <f t="shared" si="2"/>
        <v>not enough data</v>
      </c>
      <c r="G54" s="1" t="s">
        <v>32</v>
      </c>
      <c r="H54" s="1" t="s">
        <v>86</v>
      </c>
      <c r="I54" s="1" t="s">
        <v>72</v>
      </c>
      <c r="J54" s="1" t="s">
        <v>21</v>
      </c>
      <c r="K54" s="1" t="s">
        <v>177</v>
      </c>
      <c r="L54" s="1" t="s">
        <v>178</v>
      </c>
      <c r="M54" s="1" t="s">
        <v>173</v>
      </c>
    </row>
    <row r="55" spans="1:13" ht="15.75" customHeight="1" x14ac:dyDescent="0.25">
      <c r="A55" s="1" t="s">
        <v>179</v>
      </c>
      <c r="B55" s="1">
        <v>264</v>
      </c>
      <c r="C55" s="1">
        <f t="shared" si="0"/>
        <v>2.64</v>
      </c>
      <c r="D55" s="1" t="s">
        <v>21</v>
      </c>
      <c r="E55" s="1" t="str">
        <f t="shared" si="1"/>
        <v>not enough data</v>
      </c>
      <c r="F55" s="1" t="str">
        <f t="shared" si="2"/>
        <v>not enough data</v>
      </c>
      <c r="G55" s="1" t="s">
        <v>32</v>
      </c>
      <c r="H55" s="1" t="s">
        <v>33</v>
      </c>
      <c r="I55" s="1" t="s">
        <v>23</v>
      </c>
      <c r="J55" s="1" t="s">
        <v>21</v>
      </c>
      <c r="K55" s="1" t="s">
        <v>180</v>
      </c>
      <c r="L55" s="1" t="s">
        <v>181</v>
      </c>
      <c r="M55" s="1" t="s">
        <v>120</v>
      </c>
    </row>
    <row r="56" spans="1:13" ht="15.75" customHeight="1" x14ac:dyDescent="0.25">
      <c r="A56" s="1" t="s">
        <v>182</v>
      </c>
      <c r="B56" s="1">
        <v>188</v>
      </c>
      <c r="C56" s="1">
        <f t="shared" si="0"/>
        <v>1.88</v>
      </c>
      <c r="D56" s="1">
        <v>80</v>
      </c>
      <c r="E56" s="1">
        <f t="shared" si="1"/>
        <v>22.634676324128566</v>
      </c>
      <c r="F56" s="1" t="str">
        <f t="shared" si="2"/>
        <v>10.6953893557067 Less</v>
      </c>
      <c r="G56" s="1" t="s">
        <v>32</v>
      </c>
      <c r="H56" s="1" t="s">
        <v>72</v>
      </c>
      <c r="I56" s="1" t="s">
        <v>48</v>
      </c>
      <c r="J56" s="1">
        <v>22</v>
      </c>
      <c r="K56" s="1" t="s">
        <v>183</v>
      </c>
      <c r="L56" s="1" t="s">
        <v>184</v>
      </c>
      <c r="M56" s="1" t="s">
        <v>54</v>
      </c>
    </row>
    <row r="57" spans="1:13" ht="15.75" customHeight="1" x14ac:dyDescent="0.25">
      <c r="A57" s="1" t="s">
        <v>185</v>
      </c>
      <c r="B57" s="1">
        <v>196</v>
      </c>
      <c r="C57" s="1">
        <f t="shared" si="0"/>
        <v>1.96</v>
      </c>
      <c r="D57" s="1" t="s">
        <v>21</v>
      </c>
      <c r="E57" s="1" t="str">
        <f t="shared" si="1"/>
        <v>not enough data</v>
      </c>
      <c r="F57" s="1" t="str">
        <f t="shared" si="2"/>
        <v>not enough data</v>
      </c>
      <c r="G57" s="1" t="s">
        <v>32</v>
      </c>
      <c r="H57" s="1" t="s">
        <v>16</v>
      </c>
      <c r="I57" s="1" t="s">
        <v>16</v>
      </c>
      <c r="J57" s="1" t="s">
        <v>21</v>
      </c>
      <c r="K57" s="1" t="s">
        <v>186</v>
      </c>
      <c r="L57" s="1" t="s">
        <v>187</v>
      </c>
      <c r="M57" s="1" t="s">
        <v>129</v>
      </c>
    </row>
    <row r="58" spans="1:13" ht="15.75" customHeight="1" x14ac:dyDescent="0.25">
      <c r="A58" s="1" t="s">
        <v>188</v>
      </c>
      <c r="B58" s="1">
        <v>185</v>
      </c>
      <c r="C58" s="1">
        <f t="shared" si="0"/>
        <v>1.85</v>
      </c>
      <c r="D58" s="1">
        <v>85</v>
      </c>
      <c r="E58" s="1">
        <f t="shared" si="1"/>
        <v>24.835646457268076</v>
      </c>
      <c r="F58" s="1" t="str">
        <f t="shared" si="2"/>
        <v>8.49441922256723 Less</v>
      </c>
      <c r="G58" s="1" t="s">
        <v>48</v>
      </c>
      <c r="H58" s="1" t="s">
        <v>98</v>
      </c>
      <c r="I58" s="1" t="s">
        <v>36</v>
      </c>
      <c r="J58" s="1" t="s">
        <v>21</v>
      </c>
      <c r="K58" s="1" t="s">
        <v>29</v>
      </c>
      <c r="L58" s="1" t="s">
        <v>18</v>
      </c>
      <c r="M58" s="1" t="s">
        <v>189</v>
      </c>
    </row>
    <row r="59" spans="1:13" ht="15.75" customHeight="1" x14ac:dyDescent="0.25">
      <c r="A59" s="1" t="s">
        <v>190</v>
      </c>
      <c r="B59" s="1">
        <v>157</v>
      </c>
      <c r="C59" s="1">
        <f t="shared" si="0"/>
        <v>1.57</v>
      </c>
      <c r="D59" s="1" t="s">
        <v>21</v>
      </c>
      <c r="E59" s="1" t="str">
        <f t="shared" si="1"/>
        <v>not enough data</v>
      </c>
      <c r="F59" s="1" t="str">
        <f t="shared" si="2"/>
        <v>not enough data</v>
      </c>
      <c r="G59" s="1" t="s">
        <v>36</v>
      </c>
      <c r="H59" s="1" t="s">
        <v>37</v>
      </c>
      <c r="I59" s="1" t="s">
        <v>36</v>
      </c>
      <c r="J59" s="1" t="s">
        <v>21</v>
      </c>
      <c r="K59" s="1" t="s">
        <v>29</v>
      </c>
      <c r="L59" s="1" t="s">
        <v>18</v>
      </c>
      <c r="M59" s="1" t="s">
        <v>189</v>
      </c>
    </row>
    <row r="60" spans="1:13" ht="15.75" customHeight="1" x14ac:dyDescent="0.25">
      <c r="A60" s="1" t="s">
        <v>191</v>
      </c>
      <c r="B60" s="1">
        <v>183</v>
      </c>
      <c r="C60" s="1">
        <f t="shared" si="0"/>
        <v>1.83</v>
      </c>
      <c r="D60" s="1" t="s">
        <v>21</v>
      </c>
      <c r="E60" s="1" t="str">
        <f t="shared" si="1"/>
        <v>not enough data</v>
      </c>
      <c r="F60" s="1" t="str">
        <f t="shared" si="2"/>
        <v>not enough data</v>
      </c>
      <c r="G60" s="1" t="s">
        <v>36</v>
      </c>
      <c r="H60" s="1" t="s">
        <v>15</v>
      </c>
      <c r="I60" s="1" t="s">
        <v>16</v>
      </c>
      <c r="J60" s="1">
        <v>82</v>
      </c>
      <c r="K60" s="1" t="s">
        <v>17</v>
      </c>
      <c r="L60" s="1" t="s">
        <v>18</v>
      </c>
      <c r="M60" s="1" t="s">
        <v>189</v>
      </c>
    </row>
    <row r="61" spans="1:13" ht="15.75" customHeight="1" x14ac:dyDescent="0.25">
      <c r="A61" s="1" t="s">
        <v>192</v>
      </c>
      <c r="B61" s="1">
        <v>183</v>
      </c>
      <c r="C61" s="1">
        <f t="shared" si="0"/>
        <v>1.83</v>
      </c>
      <c r="D61" s="1">
        <v>80</v>
      </c>
      <c r="E61" s="1">
        <f t="shared" si="1"/>
        <v>23.888440980620498</v>
      </c>
      <c r="F61" s="1" t="str">
        <f t="shared" si="2"/>
        <v>9.44162469921481 Less</v>
      </c>
      <c r="G61" s="1" t="s">
        <v>32</v>
      </c>
      <c r="H61" s="1" t="s">
        <v>67</v>
      </c>
      <c r="I61" s="1" t="s">
        <v>23</v>
      </c>
      <c r="J61" s="1" t="s">
        <v>21</v>
      </c>
      <c r="K61" s="1" t="s">
        <v>193</v>
      </c>
      <c r="L61" s="1" t="s">
        <v>194</v>
      </c>
      <c r="M61" s="1" t="s">
        <v>195</v>
      </c>
    </row>
    <row r="62" spans="1:13" ht="15.75" customHeight="1" x14ac:dyDescent="0.25">
      <c r="A62" s="1" t="s">
        <v>196</v>
      </c>
      <c r="B62" s="1">
        <v>170</v>
      </c>
      <c r="C62" s="1">
        <f t="shared" si="0"/>
        <v>1.7</v>
      </c>
      <c r="D62" s="1">
        <v>56.2</v>
      </c>
      <c r="E62" s="1">
        <f t="shared" si="1"/>
        <v>19.446366782006923</v>
      </c>
      <c r="F62" s="1" t="str">
        <f t="shared" si="2"/>
        <v>13.8836988978284 Less</v>
      </c>
      <c r="G62" s="1" t="s">
        <v>48</v>
      </c>
      <c r="H62" s="1" t="s">
        <v>23</v>
      </c>
      <c r="I62" s="1" t="s">
        <v>16</v>
      </c>
      <c r="J62" s="1">
        <v>58</v>
      </c>
      <c r="K62" s="1" t="s">
        <v>197</v>
      </c>
      <c r="L62" s="1" t="s">
        <v>198</v>
      </c>
      <c r="M62" s="1" t="s">
        <v>195</v>
      </c>
    </row>
    <row r="63" spans="1:13" ht="15.75" customHeight="1" x14ac:dyDescent="0.25">
      <c r="A63" s="1" t="s">
        <v>199</v>
      </c>
      <c r="B63" s="1">
        <v>166</v>
      </c>
      <c r="C63" s="1">
        <f t="shared" si="0"/>
        <v>1.66</v>
      </c>
      <c r="D63" s="1">
        <v>50</v>
      </c>
      <c r="E63" s="1">
        <f t="shared" si="1"/>
        <v>18.144868631151112</v>
      </c>
      <c r="F63" s="1" t="str">
        <f t="shared" si="2"/>
        <v>15.1851970486842 Less</v>
      </c>
      <c r="G63" s="1" t="s">
        <v>48</v>
      </c>
      <c r="H63" s="1" t="s">
        <v>23</v>
      </c>
      <c r="I63" s="1" t="s">
        <v>16</v>
      </c>
      <c r="J63" s="1">
        <v>40</v>
      </c>
      <c r="K63" s="1" t="s">
        <v>197</v>
      </c>
      <c r="L63" s="1" t="s">
        <v>198</v>
      </c>
      <c r="M63" s="1" t="s">
        <v>189</v>
      </c>
    </row>
    <row r="64" spans="1:13" ht="15.75" customHeight="1" x14ac:dyDescent="0.25">
      <c r="A64" s="1" t="s">
        <v>200</v>
      </c>
      <c r="B64" s="1">
        <v>165</v>
      </c>
      <c r="C64" s="1">
        <f t="shared" si="0"/>
        <v>1.65</v>
      </c>
      <c r="D64" s="1" t="s">
        <v>21</v>
      </c>
      <c r="E64" s="1" t="str">
        <f t="shared" si="1"/>
        <v>not enough data</v>
      </c>
      <c r="F64" s="1" t="str">
        <f t="shared" si="2"/>
        <v>not enough data</v>
      </c>
      <c r="G64" s="1" t="s">
        <v>36</v>
      </c>
      <c r="H64" s="1" t="s">
        <v>37</v>
      </c>
      <c r="I64" s="1" t="s">
        <v>36</v>
      </c>
      <c r="J64" s="1" t="s">
        <v>21</v>
      </c>
      <c r="K64" s="1" t="s">
        <v>29</v>
      </c>
      <c r="L64" s="1" t="s">
        <v>18</v>
      </c>
      <c r="M64" s="1" t="s">
        <v>189</v>
      </c>
    </row>
    <row r="65" spans="1:13" ht="15.75" customHeight="1" x14ac:dyDescent="0.25">
      <c r="A65" s="1" t="s">
        <v>201</v>
      </c>
      <c r="B65" s="1">
        <v>193</v>
      </c>
      <c r="C65" s="1">
        <f t="shared" si="0"/>
        <v>1.93</v>
      </c>
      <c r="D65" s="1">
        <v>80</v>
      </c>
      <c r="E65" s="1">
        <f t="shared" si="1"/>
        <v>21.477086633198208</v>
      </c>
      <c r="F65" s="1" t="str">
        <f t="shared" si="2"/>
        <v>11.8529790466371 Less</v>
      </c>
      <c r="G65" s="1" t="s">
        <v>33</v>
      </c>
      <c r="H65" s="1" t="s">
        <v>15</v>
      </c>
      <c r="I65" s="1" t="s">
        <v>36</v>
      </c>
      <c r="J65" s="1">
        <v>102</v>
      </c>
      <c r="K65" s="1" t="s">
        <v>202</v>
      </c>
      <c r="L65" s="1" t="s">
        <v>18</v>
      </c>
      <c r="M65" s="1" t="s">
        <v>195</v>
      </c>
    </row>
    <row r="66" spans="1:13" ht="15.75" customHeight="1" x14ac:dyDescent="0.25">
      <c r="A66" s="1" t="s">
        <v>203</v>
      </c>
      <c r="B66" s="1">
        <v>191</v>
      </c>
      <c r="C66" s="1">
        <f t="shared" si="0"/>
        <v>1.91</v>
      </c>
      <c r="D66" s="1" t="s">
        <v>21</v>
      </c>
      <c r="E66" s="1" t="str">
        <f t="shared" si="1"/>
        <v>not enough data</v>
      </c>
      <c r="F66" s="1" t="str">
        <f t="shared" si="2"/>
        <v>not enough data</v>
      </c>
      <c r="G66" s="1" t="s">
        <v>48</v>
      </c>
      <c r="H66" s="1" t="s">
        <v>204</v>
      </c>
      <c r="I66" s="1" t="s">
        <v>36</v>
      </c>
      <c r="J66" s="1">
        <v>67</v>
      </c>
      <c r="K66" s="1" t="s">
        <v>38</v>
      </c>
      <c r="L66" s="1" t="s">
        <v>18</v>
      </c>
      <c r="M66" s="1" t="s">
        <v>195</v>
      </c>
    </row>
    <row r="67" spans="1:13" ht="15.75" customHeight="1" x14ac:dyDescent="0.25">
      <c r="A67" s="1" t="s">
        <v>205</v>
      </c>
      <c r="B67" s="1">
        <v>183</v>
      </c>
      <c r="C67" s="1">
        <f t="shared" si="0"/>
        <v>1.83</v>
      </c>
      <c r="D67" s="1">
        <v>79</v>
      </c>
      <c r="E67" s="1">
        <f t="shared" si="1"/>
        <v>23.589835468362743</v>
      </c>
      <c r="F67" s="1" t="str">
        <f t="shared" si="2"/>
        <v>9.74023021147256 Less</v>
      </c>
      <c r="G67" s="1" t="s">
        <v>48</v>
      </c>
      <c r="H67" s="1" t="s">
        <v>204</v>
      </c>
      <c r="I67" s="1" t="s">
        <v>36</v>
      </c>
      <c r="J67" s="1">
        <v>66</v>
      </c>
      <c r="K67" s="1" t="s">
        <v>206</v>
      </c>
      <c r="L67" s="1" t="s">
        <v>18</v>
      </c>
      <c r="M67" s="1" t="s">
        <v>189</v>
      </c>
    </row>
    <row r="68" spans="1:13" ht="15.75" customHeight="1" x14ac:dyDescent="0.25">
      <c r="A68" s="1" t="s">
        <v>207</v>
      </c>
      <c r="B68" s="1">
        <v>168</v>
      </c>
      <c r="C68" s="1">
        <f t="shared" si="0"/>
        <v>1.68</v>
      </c>
      <c r="D68" s="1">
        <v>55</v>
      </c>
      <c r="E68" s="1">
        <f t="shared" si="1"/>
        <v>19.486961451247168</v>
      </c>
      <c r="F68" s="1" t="str">
        <f t="shared" si="2"/>
        <v>13.8431042285881 Less</v>
      </c>
      <c r="G68" s="1" t="s">
        <v>208</v>
      </c>
      <c r="H68" s="1" t="s">
        <v>209</v>
      </c>
      <c r="I68" s="1" t="s">
        <v>23</v>
      </c>
      <c r="J68" s="1" t="s">
        <v>21</v>
      </c>
      <c r="K68" s="1" t="s">
        <v>210</v>
      </c>
      <c r="L68" s="1" t="s">
        <v>211</v>
      </c>
      <c r="M68" s="1" t="s">
        <v>189</v>
      </c>
    </row>
    <row r="69" spans="1:13" ht="15.75" customHeight="1" x14ac:dyDescent="0.25">
      <c r="A69" s="1" t="s">
        <v>212</v>
      </c>
      <c r="B69" s="1">
        <v>198</v>
      </c>
      <c r="C69" s="1">
        <f t="shared" si="0"/>
        <v>1.98</v>
      </c>
      <c r="D69" s="1">
        <v>102</v>
      </c>
      <c r="E69" s="1">
        <f t="shared" si="1"/>
        <v>26.017753290480563</v>
      </c>
      <c r="F69" s="1" t="str">
        <f t="shared" si="2"/>
        <v>7.31231238935474 Less</v>
      </c>
      <c r="G69" s="1" t="s">
        <v>32</v>
      </c>
      <c r="H69" s="1" t="s">
        <v>36</v>
      </c>
      <c r="I69" s="1" t="s">
        <v>23</v>
      </c>
      <c r="J69" s="1" t="s">
        <v>21</v>
      </c>
      <c r="K69" s="1" t="s">
        <v>213</v>
      </c>
      <c r="L69" s="1" t="s">
        <v>214</v>
      </c>
      <c r="M69" s="1" t="s">
        <v>189</v>
      </c>
    </row>
    <row r="70" spans="1:13" ht="15.75" customHeight="1" x14ac:dyDescent="0.25">
      <c r="A70" s="1" t="s">
        <v>215</v>
      </c>
      <c r="B70" s="1">
        <v>229</v>
      </c>
      <c r="C70" s="1">
        <f t="shared" si="0"/>
        <v>2.29</v>
      </c>
      <c r="D70" s="1">
        <v>88</v>
      </c>
      <c r="E70" s="1">
        <f t="shared" si="1"/>
        <v>16.780763143342039</v>
      </c>
      <c r="F70" s="1" t="str">
        <f t="shared" si="2"/>
        <v>16.5493025364933 Less</v>
      </c>
      <c r="G70" s="1" t="s">
        <v>32</v>
      </c>
      <c r="H70" s="1" t="s">
        <v>85</v>
      </c>
      <c r="I70" s="1" t="s">
        <v>48</v>
      </c>
      <c r="J70" s="1" t="s">
        <v>21</v>
      </c>
      <c r="K70" s="1" t="s">
        <v>89</v>
      </c>
      <c r="L70" s="1" t="s">
        <v>216</v>
      </c>
      <c r="M70" s="1" t="s">
        <v>189</v>
      </c>
    </row>
    <row r="71" spans="1:13" ht="15.75" customHeight="1" x14ac:dyDescent="0.25">
      <c r="A71" s="1" t="s">
        <v>217</v>
      </c>
      <c r="B71" s="1">
        <v>213</v>
      </c>
      <c r="C71" s="1">
        <f t="shared" si="0"/>
        <v>2.13</v>
      </c>
      <c r="D71" s="1" t="s">
        <v>21</v>
      </c>
      <c r="E71" s="1" t="str">
        <f t="shared" si="1"/>
        <v>not enough data</v>
      </c>
      <c r="F71" s="1" t="str">
        <f t="shared" si="2"/>
        <v>not enough data</v>
      </c>
      <c r="G71" s="1" t="s">
        <v>32</v>
      </c>
      <c r="H71" s="1" t="s">
        <v>85</v>
      </c>
      <c r="I71" s="1" t="s">
        <v>48</v>
      </c>
      <c r="J71" s="1" t="s">
        <v>21</v>
      </c>
      <c r="K71" s="1" t="s">
        <v>89</v>
      </c>
      <c r="L71" s="1" t="s">
        <v>216</v>
      </c>
      <c r="M71" s="1" t="s">
        <v>189</v>
      </c>
    </row>
    <row r="72" spans="1:13" ht="15.75" customHeight="1" x14ac:dyDescent="0.25">
      <c r="A72" s="1" t="s">
        <v>218</v>
      </c>
      <c r="B72" s="1">
        <v>167</v>
      </c>
      <c r="C72" s="1">
        <f t="shared" si="0"/>
        <v>1.67</v>
      </c>
      <c r="D72" s="1" t="s">
        <v>21</v>
      </c>
      <c r="E72" s="1" t="str">
        <f t="shared" si="1"/>
        <v>not enough data</v>
      </c>
      <c r="F72" s="1" t="str">
        <f t="shared" si="2"/>
        <v>not enough data</v>
      </c>
      <c r="G72" s="1" t="s">
        <v>33</v>
      </c>
      <c r="H72" s="1" t="s">
        <v>15</v>
      </c>
      <c r="I72" s="1" t="s">
        <v>16</v>
      </c>
      <c r="J72" s="1" t="s">
        <v>21</v>
      </c>
      <c r="K72" s="1" t="s">
        <v>126</v>
      </c>
      <c r="L72" s="1" t="s">
        <v>18</v>
      </c>
      <c r="M72" s="1" t="s">
        <v>189</v>
      </c>
    </row>
    <row r="73" spans="1:13" ht="15.75" customHeight="1" x14ac:dyDescent="0.25">
      <c r="A73" s="1" t="s">
        <v>219</v>
      </c>
      <c r="B73" s="1">
        <v>79</v>
      </c>
      <c r="C73" s="1">
        <f t="shared" si="0"/>
        <v>0.79</v>
      </c>
      <c r="D73" s="1">
        <v>15</v>
      </c>
      <c r="E73" s="1">
        <f t="shared" si="1"/>
        <v>24.034609838166958</v>
      </c>
      <c r="F73" s="1" t="str">
        <f t="shared" si="2"/>
        <v>9.29545584166835 Less</v>
      </c>
      <c r="G73" s="1" t="s">
        <v>32</v>
      </c>
      <c r="H73" s="1" t="s">
        <v>220</v>
      </c>
      <c r="I73" s="1" t="s">
        <v>60</v>
      </c>
      <c r="J73" s="1" t="s">
        <v>21</v>
      </c>
      <c r="K73" s="1" t="s">
        <v>221</v>
      </c>
      <c r="L73" s="1" t="s">
        <v>222</v>
      </c>
      <c r="M73" s="1" t="s">
        <v>120</v>
      </c>
    </row>
    <row r="74" spans="1:13" ht="15.75" customHeight="1" x14ac:dyDescent="0.25">
      <c r="A74" s="1" t="s">
        <v>223</v>
      </c>
      <c r="B74" s="1">
        <v>96</v>
      </c>
      <c r="C74" s="1">
        <f t="shared" si="0"/>
        <v>0.96</v>
      </c>
      <c r="D74" s="1" t="s">
        <v>21</v>
      </c>
      <c r="E74" s="1" t="str">
        <f t="shared" si="1"/>
        <v>not enough data</v>
      </c>
      <c r="F74" s="1" t="str">
        <f t="shared" si="2"/>
        <v>not enough data</v>
      </c>
      <c r="G74" s="1" t="s">
        <v>32</v>
      </c>
      <c r="H74" s="1" t="s">
        <v>224</v>
      </c>
      <c r="I74" s="1" t="s">
        <v>225</v>
      </c>
      <c r="J74" s="1" t="s">
        <v>21</v>
      </c>
      <c r="K74" s="1" t="s">
        <v>21</v>
      </c>
      <c r="L74" s="1" t="s">
        <v>21</v>
      </c>
      <c r="M74" s="1" t="s">
        <v>195</v>
      </c>
    </row>
    <row r="75" spans="1:13" ht="15.75" customHeight="1" x14ac:dyDescent="0.25">
      <c r="A75" s="1" t="s">
        <v>226</v>
      </c>
      <c r="B75" s="1">
        <v>193</v>
      </c>
      <c r="C75" s="1">
        <f t="shared" si="0"/>
        <v>1.93</v>
      </c>
      <c r="D75" s="1">
        <v>48</v>
      </c>
      <c r="E75" s="1">
        <f t="shared" si="1"/>
        <v>12.886251979918924</v>
      </c>
      <c r="F75" s="1" t="str">
        <f t="shared" si="2"/>
        <v>20.4438136999164 Less</v>
      </c>
      <c r="G75" s="1" t="s">
        <v>32</v>
      </c>
      <c r="H75" s="1" t="s">
        <v>227</v>
      </c>
      <c r="I75" s="1" t="s">
        <v>60</v>
      </c>
      <c r="J75" s="1" t="s">
        <v>21</v>
      </c>
      <c r="K75" s="1" t="s">
        <v>228</v>
      </c>
      <c r="L75" s="1" t="s">
        <v>229</v>
      </c>
      <c r="M75" s="1" t="s">
        <v>189</v>
      </c>
    </row>
    <row r="76" spans="1:13" ht="15.75" customHeight="1" x14ac:dyDescent="0.25">
      <c r="A76" s="1" t="s">
        <v>230</v>
      </c>
      <c r="B76" s="1">
        <v>191</v>
      </c>
      <c r="C76" s="1">
        <f t="shared" si="0"/>
        <v>1.91</v>
      </c>
      <c r="D76" s="1" t="s">
        <v>21</v>
      </c>
      <c r="E76" s="1" t="str">
        <f t="shared" si="1"/>
        <v>not enough data</v>
      </c>
      <c r="F76" s="1" t="str">
        <f t="shared" si="2"/>
        <v>not enough data</v>
      </c>
      <c r="G76" s="1" t="s">
        <v>32</v>
      </c>
      <c r="H76" s="1" t="s">
        <v>85</v>
      </c>
      <c r="I76" s="1" t="s">
        <v>22</v>
      </c>
      <c r="J76" s="1" t="s">
        <v>21</v>
      </c>
      <c r="K76" s="1" t="s">
        <v>231</v>
      </c>
      <c r="L76" s="1" t="s">
        <v>232</v>
      </c>
      <c r="M76" s="1" t="s">
        <v>189</v>
      </c>
    </row>
    <row r="77" spans="1:13" ht="15.75" customHeight="1" x14ac:dyDescent="0.25">
      <c r="A77" s="1" t="s">
        <v>233</v>
      </c>
      <c r="B77" s="1">
        <v>178</v>
      </c>
      <c r="C77" s="1">
        <f t="shared" si="0"/>
        <v>1.78</v>
      </c>
      <c r="D77" s="1">
        <v>57</v>
      </c>
      <c r="E77" s="1">
        <f t="shared" si="1"/>
        <v>17.99015275849009</v>
      </c>
      <c r="F77" s="1" t="str">
        <f t="shared" si="2"/>
        <v>15.3399129213452 Less</v>
      </c>
      <c r="G77" s="1" t="s">
        <v>32</v>
      </c>
      <c r="H77" s="1" t="s">
        <v>234</v>
      </c>
      <c r="I77" s="1" t="s">
        <v>48</v>
      </c>
      <c r="J77" s="1" t="s">
        <v>21</v>
      </c>
      <c r="K77" s="1" t="s">
        <v>235</v>
      </c>
      <c r="L77" s="1" t="s">
        <v>236</v>
      </c>
      <c r="M77" s="1" t="s">
        <v>195</v>
      </c>
    </row>
    <row r="78" spans="1:13" ht="15.75" customHeight="1" x14ac:dyDescent="0.25">
      <c r="A78" s="1" t="s">
        <v>237</v>
      </c>
      <c r="B78" s="1">
        <v>216</v>
      </c>
      <c r="C78" s="1">
        <f t="shared" si="0"/>
        <v>2.16</v>
      </c>
      <c r="D78" s="1">
        <v>159</v>
      </c>
      <c r="E78" s="1">
        <f t="shared" si="1"/>
        <v>34.079218106995881</v>
      </c>
      <c r="F78" s="1" t="str">
        <f t="shared" si="2"/>
        <v>0.749152427160574 More</v>
      </c>
      <c r="G78" s="1" t="s">
        <v>32</v>
      </c>
      <c r="H78" s="1" t="s">
        <v>238</v>
      </c>
      <c r="I78" s="1" t="s">
        <v>239</v>
      </c>
      <c r="J78" s="1" t="s">
        <v>21</v>
      </c>
      <c r="K78" s="1" t="s">
        <v>240</v>
      </c>
      <c r="L78" s="1" t="s">
        <v>241</v>
      </c>
      <c r="M78" s="1" t="s">
        <v>242</v>
      </c>
    </row>
    <row r="79" spans="1:13" ht="15.75" customHeight="1" x14ac:dyDescent="0.25">
      <c r="A79" s="1" t="s">
        <v>243</v>
      </c>
      <c r="B79" s="1">
        <v>234</v>
      </c>
      <c r="C79" s="1">
        <f t="shared" si="0"/>
        <v>2.34</v>
      </c>
      <c r="D79" s="1">
        <v>136</v>
      </c>
      <c r="E79" s="1">
        <f t="shared" si="1"/>
        <v>24.837460734896638</v>
      </c>
      <c r="F79" s="1" t="str">
        <f t="shared" si="2"/>
        <v>8.49260494493867 Less</v>
      </c>
      <c r="G79" s="1" t="s">
        <v>36</v>
      </c>
      <c r="H79" s="1" t="s">
        <v>36</v>
      </c>
      <c r="I79" s="1" t="s">
        <v>16</v>
      </c>
      <c r="J79" s="1" t="s">
        <v>21</v>
      </c>
      <c r="K79" s="1" t="s">
        <v>61</v>
      </c>
      <c r="L79" s="1" t="s">
        <v>62</v>
      </c>
      <c r="M79" s="1" t="s">
        <v>242</v>
      </c>
    </row>
    <row r="80" spans="1:13" ht="15.75" customHeight="1" x14ac:dyDescent="0.25">
      <c r="A80" s="1" t="s">
        <v>244</v>
      </c>
      <c r="B80" s="1">
        <v>188</v>
      </c>
      <c r="C80" s="1">
        <f t="shared" si="0"/>
        <v>1.88</v>
      </c>
      <c r="D80" s="1">
        <v>79</v>
      </c>
      <c r="E80" s="1">
        <f t="shared" si="1"/>
        <v>22.351742870076958</v>
      </c>
      <c r="F80" s="1" t="str">
        <f t="shared" si="2"/>
        <v>10.9783228097583 Less</v>
      </c>
      <c r="G80" s="1" t="s">
        <v>36</v>
      </c>
      <c r="H80" s="1" t="s">
        <v>37</v>
      </c>
      <c r="I80" s="1" t="s">
        <v>36</v>
      </c>
      <c r="J80" s="1" t="s">
        <v>21</v>
      </c>
      <c r="K80" s="1" t="s">
        <v>38</v>
      </c>
      <c r="L80" s="1" t="s">
        <v>18</v>
      </c>
      <c r="M80" s="1" t="s">
        <v>58</v>
      </c>
    </row>
    <row r="81" spans="1:29" ht="15.75" customHeight="1" x14ac:dyDescent="0.25">
      <c r="A81" s="1" t="s">
        <v>245</v>
      </c>
      <c r="B81" s="1">
        <v>178</v>
      </c>
      <c r="C81" s="1">
        <f t="shared" si="0"/>
        <v>1.78</v>
      </c>
      <c r="D81" s="1">
        <v>48</v>
      </c>
      <c r="E81" s="1">
        <f t="shared" si="1"/>
        <v>15.149602322939023</v>
      </c>
      <c r="F81" s="1" t="str">
        <f t="shared" si="2"/>
        <v>18.1804633568963 Less</v>
      </c>
      <c r="G81" s="1" t="s">
        <v>32</v>
      </c>
      <c r="H81" s="1" t="s">
        <v>86</v>
      </c>
      <c r="I81" s="1" t="s">
        <v>33</v>
      </c>
      <c r="J81" s="1" t="s">
        <v>21</v>
      </c>
      <c r="K81" s="1" t="s">
        <v>246</v>
      </c>
      <c r="L81" s="1" t="s">
        <v>21</v>
      </c>
      <c r="M81" s="1" t="s">
        <v>195</v>
      </c>
    </row>
    <row r="82" spans="1:29" ht="15.75" customHeight="1" x14ac:dyDescent="0.25">
      <c r="A82" s="1" t="s">
        <v>247</v>
      </c>
      <c r="B82" s="1">
        <v>206</v>
      </c>
      <c r="C82" s="1">
        <f t="shared" si="0"/>
        <v>2.06</v>
      </c>
      <c r="D82" s="1">
        <v>80</v>
      </c>
      <c r="E82" s="1">
        <f t="shared" si="1"/>
        <v>18.851918182675089</v>
      </c>
      <c r="F82" s="1" t="str">
        <f t="shared" si="2"/>
        <v>14.4781474971602 Less</v>
      </c>
      <c r="G82" s="1" t="s">
        <v>32</v>
      </c>
      <c r="H82" s="1" t="s">
        <v>85</v>
      </c>
      <c r="I82" s="1" t="s">
        <v>48</v>
      </c>
      <c r="J82" s="1" t="s">
        <v>21</v>
      </c>
      <c r="K82" s="1" t="s">
        <v>248</v>
      </c>
      <c r="L82" s="1" t="s">
        <v>249</v>
      </c>
      <c r="M82" s="1" t="s">
        <v>242</v>
      </c>
    </row>
    <row r="83" spans="1:29" ht="15.75" customHeight="1" x14ac:dyDescent="0.25">
      <c r="A83" s="1" t="s">
        <v>250</v>
      </c>
      <c r="B83" s="1" t="s">
        <v>21</v>
      </c>
      <c r="C83" s="1" t="str">
        <f t="shared" si="0"/>
        <v>No Height Data</v>
      </c>
      <c r="D83" s="1" t="s">
        <v>21</v>
      </c>
      <c r="E83" s="1" t="str">
        <f t="shared" si="1"/>
        <v>not enough data</v>
      </c>
      <c r="F83" s="1" t="str">
        <f t="shared" si="2"/>
        <v>not enough data</v>
      </c>
      <c r="G83" s="1" t="s">
        <v>48</v>
      </c>
      <c r="H83" s="1" t="s">
        <v>98</v>
      </c>
      <c r="I83" s="1" t="s">
        <v>98</v>
      </c>
      <c r="J83" s="1" t="s">
        <v>21</v>
      </c>
      <c r="K83" s="1" t="s">
        <v>21</v>
      </c>
      <c r="L83" s="1" t="s">
        <v>18</v>
      </c>
      <c r="M83" s="1" t="s">
        <v>251</v>
      </c>
    </row>
    <row r="84" spans="1:29" ht="15.75" customHeight="1" x14ac:dyDescent="0.25">
      <c r="A84" s="1" t="s">
        <v>252</v>
      </c>
      <c r="B84" s="1" t="s">
        <v>21</v>
      </c>
      <c r="C84" s="1" t="str">
        <f t="shared" si="0"/>
        <v>No Height Data</v>
      </c>
      <c r="D84" s="1" t="s">
        <v>21</v>
      </c>
      <c r="E84" s="1" t="str">
        <f t="shared" si="1"/>
        <v>not enough data</v>
      </c>
      <c r="F84" s="1" t="str">
        <f t="shared" si="2"/>
        <v>not enough data</v>
      </c>
      <c r="G84" s="1" t="s">
        <v>36</v>
      </c>
      <c r="H84" s="1" t="s">
        <v>37</v>
      </c>
      <c r="I84" s="1" t="s">
        <v>77</v>
      </c>
      <c r="J84" s="1" t="s">
        <v>21</v>
      </c>
      <c r="K84" s="1" t="s">
        <v>21</v>
      </c>
      <c r="L84" s="1" t="s">
        <v>18</v>
      </c>
      <c r="M84" s="1" t="s">
        <v>251</v>
      </c>
    </row>
    <row r="85" spans="1:29" ht="15.75" customHeight="1" x14ac:dyDescent="0.25">
      <c r="A85" s="1" t="s">
        <v>253</v>
      </c>
      <c r="B85" s="1" t="s">
        <v>21</v>
      </c>
      <c r="C85" s="1" t="str">
        <f t="shared" si="0"/>
        <v>No Height Data</v>
      </c>
      <c r="D85" s="1" t="s">
        <v>21</v>
      </c>
      <c r="E85" s="1" t="str">
        <f t="shared" si="1"/>
        <v>not enough data</v>
      </c>
      <c r="F85" s="1" t="str">
        <f t="shared" si="2"/>
        <v>not enough data</v>
      </c>
      <c r="G85" s="1" t="s">
        <v>36</v>
      </c>
      <c r="H85" s="1" t="s">
        <v>37</v>
      </c>
      <c r="I85" s="1" t="s">
        <v>36</v>
      </c>
      <c r="J85" s="1" t="s">
        <v>21</v>
      </c>
      <c r="K85" s="1" t="s">
        <v>21</v>
      </c>
      <c r="L85" s="1" t="s">
        <v>18</v>
      </c>
      <c r="M85" s="1" t="s">
        <v>251</v>
      </c>
    </row>
    <row r="86" spans="1:29" ht="15.75" customHeight="1" x14ac:dyDescent="0.25">
      <c r="A86" s="1" t="s">
        <v>254</v>
      </c>
      <c r="B86" s="1" t="s">
        <v>21</v>
      </c>
      <c r="C86" s="1" t="str">
        <f t="shared" si="0"/>
        <v>No Height Data</v>
      </c>
      <c r="D86" s="1" t="s">
        <v>21</v>
      </c>
      <c r="E86" s="1" t="str">
        <f t="shared" si="1"/>
        <v>not enough data</v>
      </c>
      <c r="F86" s="1" t="str">
        <f t="shared" si="2"/>
        <v>not enough data</v>
      </c>
      <c r="G86" s="1" t="s">
        <v>32</v>
      </c>
      <c r="H86" s="1" t="s">
        <v>32</v>
      </c>
      <c r="I86" s="1" t="s">
        <v>48</v>
      </c>
      <c r="J86" s="1" t="s">
        <v>21</v>
      </c>
      <c r="K86" s="1" t="s">
        <v>21</v>
      </c>
      <c r="L86" s="1" t="s">
        <v>24</v>
      </c>
      <c r="M86" s="1" t="s">
        <v>251</v>
      </c>
    </row>
    <row r="87" spans="1:29" ht="15.75" customHeight="1" x14ac:dyDescent="0.25">
      <c r="A87" s="1" t="s">
        <v>255</v>
      </c>
      <c r="B87" s="1" t="s">
        <v>21</v>
      </c>
      <c r="C87" s="1" t="str">
        <f t="shared" si="0"/>
        <v>No Height Data</v>
      </c>
      <c r="D87" s="1" t="s">
        <v>21</v>
      </c>
      <c r="E87" s="1" t="str">
        <f t="shared" si="1"/>
        <v>not enough data</v>
      </c>
      <c r="F87" s="1" t="str">
        <f t="shared" si="2"/>
        <v>not enough data</v>
      </c>
      <c r="G87" s="1" t="s">
        <v>60</v>
      </c>
      <c r="H87" s="1" t="s">
        <v>60</v>
      </c>
      <c r="I87" s="1" t="s">
        <v>60</v>
      </c>
      <c r="J87" s="1" t="s">
        <v>21</v>
      </c>
      <c r="K87" s="1" t="s">
        <v>21</v>
      </c>
      <c r="L87" s="1" t="s">
        <v>21</v>
      </c>
      <c r="M87" s="1" t="s">
        <v>251</v>
      </c>
    </row>
    <row r="88" spans="1:29" ht="15.75" customHeight="1" x14ac:dyDescent="0.25">
      <c r="A88" s="1" t="s">
        <v>256</v>
      </c>
      <c r="B88" s="1">
        <v>165</v>
      </c>
      <c r="C88" s="1">
        <f t="shared" si="0"/>
        <v>1.65</v>
      </c>
      <c r="D88" s="1">
        <v>45</v>
      </c>
      <c r="E88" s="1">
        <f t="shared" si="1"/>
        <v>16.528925619834713</v>
      </c>
      <c r="F88" s="1" t="str">
        <f t="shared" si="2"/>
        <v>16.8011400600006 Less</v>
      </c>
      <c r="G88" s="1" t="s">
        <v>36</v>
      </c>
      <c r="H88" s="1" t="s">
        <v>37</v>
      </c>
      <c r="I88" s="1" t="s">
        <v>36</v>
      </c>
      <c r="J88" s="1">
        <v>46</v>
      </c>
      <c r="K88" s="1" t="s">
        <v>29</v>
      </c>
      <c r="L88" s="1" t="s">
        <v>18</v>
      </c>
      <c r="M88" s="1" t="s">
        <v>54</v>
      </c>
    </row>
    <row r="89" spans="1:29" ht="15.75" customHeight="1" x14ac:dyDescent="0.25"/>
    <row r="90" spans="1:29" ht="15.75" customHeight="1" x14ac:dyDescent="0.25"/>
    <row r="91" spans="1:29" ht="15.75" customHeight="1" x14ac:dyDescent="0.45">
      <c r="A91" s="2" t="s">
        <v>257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5.75" customHeight="1" x14ac:dyDescent="0.25">
      <c r="A92" s="1" t="s">
        <v>258</v>
      </c>
      <c r="B92" s="1">
        <f t="shared" ref="B92:B95" si="3">B2*D2</f>
        <v>13244</v>
      </c>
    </row>
    <row r="93" spans="1:29" ht="15.75" customHeight="1" x14ac:dyDescent="0.25">
      <c r="A93" s="1" t="s">
        <v>259</v>
      </c>
      <c r="B93" s="1">
        <f t="shared" si="3"/>
        <v>12525</v>
      </c>
    </row>
    <row r="94" spans="1:29" ht="15.75" customHeight="1" x14ac:dyDescent="0.25">
      <c r="A94" s="1" t="s">
        <v>260</v>
      </c>
      <c r="B94" s="1">
        <f t="shared" si="3"/>
        <v>3072</v>
      </c>
    </row>
    <row r="95" spans="1:29" ht="15.75" customHeight="1" x14ac:dyDescent="0.25">
      <c r="A95" s="1" t="s">
        <v>261</v>
      </c>
      <c r="B95" s="1">
        <f t="shared" si="3"/>
        <v>27472</v>
      </c>
    </row>
    <row r="96" spans="1:29" ht="15.75" customHeight="1" x14ac:dyDescent="0.25"/>
    <row r="97" spans="1:2" ht="15.75" customHeight="1" x14ac:dyDescent="0.25">
      <c r="A97" s="1" t="s">
        <v>262</v>
      </c>
      <c r="B97" s="1">
        <f t="shared" ref="B97:B100" si="4">$B$2 * D2</f>
        <v>13244</v>
      </c>
    </row>
    <row r="98" spans="1:2" ht="15.75" customHeight="1" x14ac:dyDescent="0.25">
      <c r="A98" s="1" t="s">
        <v>263</v>
      </c>
      <c r="B98" s="1">
        <f t="shared" si="4"/>
        <v>12900</v>
      </c>
    </row>
    <row r="99" spans="1:2" ht="15.75" customHeight="1" x14ac:dyDescent="0.25">
      <c r="A99" s="1" t="s">
        <v>264</v>
      </c>
      <c r="B99" s="1">
        <f t="shared" si="4"/>
        <v>5504</v>
      </c>
    </row>
    <row r="100" spans="1:2" ht="15.75" customHeight="1" x14ac:dyDescent="0.25">
      <c r="A100" s="1" t="s">
        <v>265</v>
      </c>
      <c r="B100" s="1">
        <f t="shared" si="4"/>
        <v>23392</v>
      </c>
    </row>
    <row r="101" spans="1:2" ht="15.75" customHeight="1" x14ac:dyDescent="0.25"/>
    <row r="102" spans="1:2" ht="15.75" customHeight="1" x14ac:dyDescent="0.25"/>
    <row r="103" spans="1:2" ht="15.75" customHeight="1" x14ac:dyDescent="0.25"/>
    <row r="104" spans="1:2" ht="15.75" customHeight="1" x14ac:dyDescent="0.25"/>
    <row r="105" spans="1:2" ht="15.75" customHeight="1" x14ac:dyDescent="0.25"/>
    <row r="106" spans="1:2" ht="15.75" customHeight="1" x14ac:dyDescent="0.25"/>
    <row r="107" spans="1:2" ht="15.75" customHeight="1" x14ac:dyDescent="0.25"/>
    <row r="108" spans="1:2" ht="15.75" customHeight="1" x14ac:dyDescent="0.25"/>
    <row r="109" spans="1:2" ht="15.75" customHeight="1" x14ac:dyDescent="0.25"/>
    <row r="110" spans="1:2" ht="15.75" customHeight="1" x14ac:dyDescent="0.25"/>
    <row r="111" spans="1:2" ht="15.75" customHeight="1" x14ac:dyDescent="0.25"/>
    <row r="112" spans="1: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25" defaultRowHeight="15" customHeight="1" x14ac:dyDescent="0.25"/>
  <cols>
    <col min="1" max="1" width="10.375" customWidth="1"/>
    <col min="2" max="2" width="23.75" customWidth="1"/>
    <col min="3" max="26" width="8.5" customWidth="1"/>
  </cols>
  <sheetData>
    <row r="1" spans="1:2" ht="15.75" customHeight="1" x14ac:dyDescent="0.25">
      <c r="A1" s="4" t="s">
        <v>0</v>
      </c>
      <c r="B1" s="5" t="s">
        <v>266</v>
      </c>
    </row>
    <row r="2" spans="1:2" ht="15.75" customHeight="1" x14ac:dyDescent="0.25">
      <c r="A2" s="4" t="s">
        <v>267</v>
      </c>
      <c r="B2" s="5" t="s">
        <v>268</v>
      </c>
    </row>
    <row r="3" spans="1:2" ht="15.75" customHeight="1" x14ac:dyDescent="0.25">
      <c r="A3" s="4" t="s">
        <v>269</v>
      </c>
      <c r="B3" s="5" t="s">
        <v>270</v>
      </c>
    </row>
    <row r="4" spans="1:2" ht="15.75" customHeight="1" x14ac:dyDescent="0.25">
      <c r="A4" s="4" t="s">
        <v>6</v>
      </c>
      <c r="B4" s="5" t="s">
        <v>271</v>
      </c>
    </row>
    <row r="5" spans="1:2" ht="15.75" customHeight="1" x14ac:dyDescent="0.25">
      <c r="A5" s="4" t="s">
        <v>7</v>
      </c>
      <c r="B5" s="5" t="s">
        <v>272</v>
      </c>
    </row>
    <row r="6" spans="1:2" ht="15.75" customHeight="1" x14ac:dyDescent="0.25">
      <c r="A6" s="4" t="s">
        <v>8</v>
      </c>
      <c r="B6" s="5" t="s">
        <v>273</v>
      </c>
    </row>
    <row r="7" spans="1:2" ht="15.75" customHeight="1" x14ac:dyDescent="0.25">
      <c r="A7" s="4" t="s">
        <v>9</v>
      </c>
      <c r="B7" s="5" t="s">
        <v>274</v>
      </c>
    </row>
    <row r="8" spans="1:2" ht="15.75" customHeight="1" x14ac:dyDescent="0.25">
      <c r="A8" s="4" t="s">
        <v>10</v>
      </c>
      <c r="B8" s="5" t="s">
        <v>275</v>
      </c>
    </row>
    <row r="9" spans="1:2" ht="15.75" customHeight="1" x14ac:dyDescent="0.25">
      <c r="A9" s="4" t="s">
        <v>11</v>
      </c>
      <c r="B9" s="5" t="s">
        <v>276</v>
      </c>
    </row>
    <row r="10" spans="1:2" ht="15.75" customHeight="1" x14ac:dyDescent="0.25">
      <c r="A10" s="4" t="s">
        <v>12</v>
      </c>
      <c r="B10" s="5" t="s">
        <v>277</v>
      </c>
    </row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starwars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 Wallace</cp:lastModifiedBy>
  <dcterms:modified xsi:type="dcterms:W3CDTF">2026-01-14T16:05:14Z</dcterms:modified>
</cp:coreProperties>
</file>